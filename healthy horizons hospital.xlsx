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 Records" sheetId="1" r:id="rId4"/>
    <sheet state="visible" name="Data Analysis" sheetId="2" r:id="rId5"/>
    <sheet state="visible" name="Summary Table" sheetId="3" r:id="rId6"/>
    <sheet state="visible" name="Data Visualization" sheetId="4" r:id="rId7"/>
    <sheet state="visible" name="VLOOKUP" sheetId="5" r:id="rId8"/>
    <sheet state="visible" name="Conditional formatting" sheetId="6" r:id="rId9"/>
    <sheet state="visible" name="Patient Respiratory" sheetId="7" r:id="rId10"/>
    <sheet state="visible" name="Pivot Table" sheetId="8" r:id="rId11"/>
  </sheets>
  <definedNames>
    <definedName hidden="1" localSheetId="6" name="_xlnm._FilterDatabase">'Patient Respiratory'!$A$1:$J$21</definedName>
  </definedNames>
  <calcPr/>
  <extLst>
    <ext uri="GoogleSheetsCustomDataVersion2">
      <go:sheetsCustomData xmlns:go="http://customooxmlschemas.google.com/" r:id="rId12" roundtripDataChecksum="Yzu5PWorEYQ2cQ3YSERK0sdIvRanz+fR/zRuMPmhNps="/>
    </ext>
  </extLst>
</workbook>
</file>

<file path=xl/sharedStrings.xml><?xml version="1.0" encoding="utf-8"?>
<sst xmlns="http://schemas.openxmlformats.org/spreadsheetml/2006/main" count="490" uniqueCount="66">
  <si>
    <t>Patient ID</t>
  </si>
  <si>
    <t>Name</t>
  </si>
  <si>
    <t>Age</t>
  </si>
  <si>
    <t>Gender</t>
  </si>
  <si>
    <t>Admission Date</t>
  </si>
  <si>
    <t>Discharge Date</t>
  </si>
  <si>
    <t>Diagnosis</t>
  </si>
  <si>
    <t>Ward</t>
  </si>
  <si>
    <t>Insurance</t>
  </si>
  <si>
    <t>Length of Stay</t>
  </si>
  <si>
    <t>Alice Smith</t>
  </si>
  <si>
    <t>Female</t>
  </si>
  <si>
    <t xml:space="preserve">Influenza </t>
  </si>
  <si>
    <t>Medical A</t>
  </si>
  <si>
    <t>Yes</t>
  </si>
  <si>
    <t>Bob Johnson</t>
  </si>
  <si>
    <t>Male</t>
  </si>
  <si>
    <t>Hypertension</t>
  </si>
  <si>
    <t>Cardiac</t>
  </si>
  <si>
    <t>Carol Williams</t>
  </si>
  <si>
    <t>Gastroenetis</t>
  </si>
  <si>
    <t>Medical B</t>
  </si>
  <si>
    <t>No</t>
  </si>
  <si>
    <t>David Brown</t>
  </si>
  <si>
    <t>Pneumonia</t>
  </si>
  <si>
    <t>Respiratory</t>
  </si>
  <si>
    <t>Eve Davis</t>
  </si>
  <si>
    <t>Frank Wilson</t>
  </si>
  <si>
    <t>Grace Taylor</t>
  </si>
  <si>
    <t xml:space="preserve">Diabetes </t>
  </si>
  <si>
    <t>Henry Moore</t>
  </si>
  <si>
    <t xml:space="preserve">Gastroenteritis </t>
  </si>
  <si>
    <t>Ivy Jackson</t>
  </si>
  <si>
    <t>Jack Martin</t>
  </si>
  <si>
    <t>Katie White</t>
  </si>
  <si>
    <t>Larry Harris</t>
  </si>
  <si>
    <t>Mia Clark</t>
  </si>
  <si>
    <t>Nathan Lewis</t>
  </si>
  <si>
    <t>Olivia Young</t>
  </si>
  <si>
    <t>Peter Hall</t>
  </si>
  <si>
    <t>Quinn Allen</t>
  </si>
  <si>
    <t>Ryan King</t>
  </si>
  <si>
    <t>Sarah Wright</t>
  </si>
  <si>
    <t>Tom Scott</t>
  </si>
  <si>
    <t>Average Lenth of Stays</t>
  </si>
  <si>
    <t>Diabetes</t>
  </si>
  <si>
    <t>Gastroenteritis</t>
  </si>
  <si>
    <t>Influenza</t>
  </si>
  <si>
    <t>Count</t>
  </si>
  <si>
    <t>Patient</t>
  </si>
  <si>
    <t>Average Age of Patients</t>
  </si>
  <si>
    <t>Column 1</t>
  </si>
  <si>
    <t>Average Age</t>
  </si>
  <si>
    <t>Length of Stays</t>
  </si>
  <si>
    <t>Longest</t>
  </si>
  <si>
    <t>Shortest</t>
  </si>
  <si>
    <t>Patient Count</t>
  </si>
  <si>
    <t>Gastroenterisis</t>
  </si>
  <si>
    <t>Medical</t>
  </si>
  <si>
    <t xml:space="preserve">Cardiac </t>
  </si>
  <si>
    <t>Ward Code</t>
  </si>
  <si>
    <t>Full Name Ward</t>
  </si>
  <si>
    <t>Madical Ward A</t>
  </si>
  <si>
    <t>Madical Ward B</t>
  </si>
  <si>
    <t>Cardiac Care Unit</t>
  </si>
  <si>
    <t>Respiratory 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</si>
</sst>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sz val="11.0"/>
      <color rgb="FF178037"/>
      <name val="&quot;Arial MT&quot;"/>
    </font>
  </fonts>
  <fills count="2">
    <fill>
      <patternFill patternType="none"/>
    </fill>
    <fill>
      <patternFill patternType="lightGray"/>
    </fill>
  </fills>
  <borders count="28">
    <border/>
    <border>
      <left style="thin">
        <color rgb="FF0000BF"/>
      </left>
      <right style="thin">
        <color rgb="FF0000BF"/>
      </right>
      <top style="thin">
        <color rgb="FF0000BF"/>
      </top>
      <bottom style="thin">
        <color rgb="FF0000BF"/>
      </bottom>
    </border>
    <border>
      <left style="thin">
        <color rgb="FF0000B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3E4791"/>
      </right>
      <top style="thin">
        <color rgb="FFD9D9D9"/>
      </top>
      <bottom style="thin">
        <color rgb="FFD9D9D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D9D9D9"/>
      </left>
      <right style="thin">
        <color rgb="FF0000BF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BF"/>
      </bottom>
    </border>
    <border>
      <left style="thin">
        <color rgb="FFD9D9D9"/>
      </left>
      <right style="thin">
        <color rgb="FF0000BF"/>
      </right>
      <top style="thin">
        <color rgb="FFD9D9D9"/>
      </top>
      <bottom style="thin">
        <color rgb="FF0000B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3" fillId="0" fontId="4" numFmtId="164" xfId="0" applyAlignment="1" applyBorder="1" applyFont="1" applyNumberFormat="1">
      <alignment horizontal="center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7" fillId="0" fontId="4" numFmtId="164" xfId="0" applyAlignment="1" applyBorder="1" applyFont="1" applyNumberFormat="1">
      <alignment horizontal="center" shrinkToFit="0" vertical="bottom" wrapText="0"/>
    </xf>
    <xf borderId="8" fillId="0" fontId="5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7" fillId="0" fontId="4" numFmtId="164" xfId="0" applyAlignment="1" applyBorder="1" applyFont="1" applyNumberFormat="1">
      <alignment horizontal="center" readingOrder="0" shrinkToFit="0" vertical="bottom" wrapText="0"/>
    </xf>
    <xf borderId="10" fillId="0" fontId="5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readingOrder="0"/>
    </xf>
    <xf borderId="7" fillId="0" fontId="4" numFmtId="0" xfId="0" applyAlignment="1" applyBorder="1" applyFont="1">
      <alignment horizontal="center" readingOrder="0"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horizontal="center" shrinkToFit="0" vertical="bottom" wrapText="0"/>
    </xf>
    <xf borderId="13" fillId="0" fontId="4" numFmtId="164" xfId="0" applyAlignment="1" applyBorder="1" applyFont="1" applyNumberFormat="1">
      <alignment horizontal="center" shrinkToFit="0" vertical="bottom" wrapText="0"/>
    </xf>
    <xf borderId="13" fillId="0" fontId="4" numFmtId="0" xfId="0" applyAlignment="1" applyBorder="1" applyFont="1">
      <alignment horizontal="center" readingOrder="0" shrinkToFit="0" vertical="bottom" wrapText="0"/>
    </xf>
    <xf borderId="14" fillId="0" fontId="5" numFmtId="0" xfId="0" applyAlignment="1" applyBorder="1" applyFont="1">
      <alignment horizontal="center" shrinkToFit="0" vertical="center" wrapText="0"/>
    </xf>
    <xf borderId="0" fillId="0" fontId="3" numFmtId="0" xfId="0" applyFont="1"/>
    <xf borderId="0" fillId="0" fontId="3" numFmtId="0" xfId="0" applyAlignment="1" applyFont="1">
      <alignment readingOrder="0"/>
    </xf>
    <xf borderId="15" fillId="0" fontId="5" numFmtId="0" xfId="0" applyAlignment="1" applyBorder="1" applyFont="1">
      <alignment horizontal="left" readingOrder="0" shrinkToFit="0" vertical="center" wrapText="0"/>
    </xf>
    <xf borderId="16" fillId="0" fontId="5" numFmtId="0" xfId="0" applyAlignment="1" applyBorder="1" applyFont="1">
      <alignment horizontal="left" readingOrder="0" shrinkToFit="0" vertical="center" wrapText="0"/>
    </xf>
    <xf borderId="17" fillId="0" fontId="5" numFmtId="0" xfId="0" applyAlignment="1" applyBorder="1" applyFont="1">
      <alignment shrinkToFit="0" vertical="center" wrapText="0"/>
    </xf>
    <xf borderId="18" fillId="0" fontId="5" numFmtId="0" xfId="0" applyAlignment="1" applyBorder="1" applyFont="1">
      <alignment shrinkToFit="0" vertical="center" wrapText="0"/>
    </xf>
    <xf borderId="19" fillId="0" fontId="5" numFmtId="0" xfId="0" applyAlignment="1" applyBorder="1" applyFont="1">
      <alignment shrinkToFit="0" vertical="center" wrapText="0"/>
    </xf>
    <xf borderId="20" fillId="0" fontId="5" numFmtId="0" xfId="0" applyAlignment="1" applyBorder="1" applyFont="1">
      <alignment shrinkToFit="0" vertical="center" wrapText="0"/>
    </xf>
    <xf borderId="0" fillId="0" fontId="5" numFmtId="0" xfId="0" applyFont="1"/>
    <xf borderId="15" fillId="0" fontId="5" numFmtId="0" xfId="0" applyAlignment="1" applyBorder="1" applyFont="1">
      <alignment horizontal="left" readingOrder="0" shrinkToFit="0" vertical="center" wrapText="0"/>
    </xf>
    <xf borderId="16" fillId="0" fontId="5" numFmtId="0" xfId="0" applyAlignment="1" applyBorder="1" applyFont="1">
      <alignment horizontal="left" readingOrder="0" shrinkToFit="0" vertical="center" wrapText="0"/>
    </xf>
    <xf borderId="21" fillId="0" fontId="5" numFmtId="0" xfId="0" applyAlignment="1" applyBorder="1" applyFont="1">
      <alignment shrinkToFit="0" vertical="center" wrapText="0"/>
    </xf>
    <xf borderId="22" fillId="0" fontId="5" numFmtId="0" xfId="0" applyAlignment="1" applyBorder="1" applyFont="1">
      <alignment shrinkToFit="0" vertical="center" wrapText="0"/>
    </xf>
    <xf borderId="16" fillId="0" fontId="3" numFmtId="0" xfId="0" applyAlignment="1" applyBorder="1" applyFont="1">
      <alignment horizontal="left" readingOrder="0" shrinkToFit="0" vertical="center" wrapText="0"/>
    </xf>
    <xf borderId="22" fillId="0" fontId="5" numFmtId="2" xfId="0" applyAlignment="1" applyBorder="1" applyFont="1" applyNumberFormat="1">
      <alignment shrinkToFit="0" vertical="center" wrapText="0"/>
    </xf>
    <xf borderId="15" fillId="0" fontId="5" numFmtId="0" xfId="0" applyAlignment="1" applyBorder="1" applyFont="1">
      <alignment horizontal="left" shrinkToFit="0" vertical="center" wrapText="0"/>
    </xf>
    <xf borderId="16" fillId="0" fontId="5" numFmtId="0" xfId="0" applyAlignment="1" applyBorder="1" applyFont="1">
      <alignment horizontal="left" shrinkToFit="0" vertical="center" wrapText="0"/>
    </xf>
    <xf borderId="17" fillId="0" fontId="5" numFmtId="0" xfId="0" applyAlignment="1" applyBorder="1" applyFont="1">
      <alignment shrinkToFit="0" vertical="center" wrapText="0"/>
    </xf>
    <xf borderId="18" fillId="0" fontId="5" numFmtId="0" xfId="0" applyAlignment="1" applyBorder="1" applyFont="1">
      <alignment shrinkToFit="0" vertical="center" wrapText="0"/>
    </xf>
    <xf borderId="23" fillId="0" fontId="5" numFmtId="0" xfId="0" applyAlignment="1" applyBorder="1" applyFont="1">
      <alignment shrinkToFit="0" vertical="center" wrapText="0"/>
    </xf>
    <xf borderId="21" fillId="0" fontId="5" numFmtId="0" xfId="0" applyAlignment="1" applyBorder="1" applyFont="1">
      <alignment shrinkToFit="0" vertical="center" wrapText="0"/>
    </xf>
    <xf borderId="19" fillId="0" fontId="5" numFmtId="0" xfId="0" applyAlignment="1" applyBorder="1" applyFont="1">
      <alignment shrinkToFit="0" vertical="center" wrapText="0"/>
    </xf>
    <xf borderId="20" fillId="0" fontId="5" numFmtId="0" xfId="0" applyAlignment="1" applyBorder="1" applyFont="1">
      <alignment shrinkToFit="0" vertical="center" wrapText="0"/>
    </xf>
    <xf borderId="15" fillId="0" fontId="3" numFmtId="0" xfId="0" applyAlignment="1" applyBorder="1" applyFont="1">
      <alignment horizontal="left" readingOrder="0" shrinkToFit="0" vertical="center" wrapText="0"/>
    </xf>
    <xf borderId="16" fillId="0" fontId="3" numFmtId="0" xfId="0" applyAlignment="1" applyBorder="1" applyFont="1">
      <alignment horizontal="left" readingOrder="0" shrinkToFit="0" vertical="center" wrapText="0"/>
    </xf>
    <xf borderId="17" fillId="0" fontId="3" numFmtId="164" xfId="0" applyAlignment="1" applyBorder="1" applyFont="1" applyNumberFormat="1">
      <alignment shrinkToFit="0" vertical="center" wrapText="0"/>
    </xf>
    <xf borderId="18" fillId="0" fontId="3" numFmtId="0" xfId="0" applyAlignment="1" applyBorder="1" applyFont="1">
      <alignment shrinkToFit="0" vertical="center" wrapText="0"/>
    </xf>
    <xf borderId="23" fillId="0" fontId="3" numFmtId="164" xfId="0" applyAlignment="1" applyBorder="1" applyFont="1" applyNumberFormat="1">
      <alignment shrinkToFit="0" vertical="center" wrapText="0"/>
    </xf>
    <xf borderId="24" fillId="0" fontId="3" numFmtId="0" xfId="0" applyAlignment="1" applyBorder="1" applyFont="1">
      <alignment shrinkToFit="0" vertical="center" wrapText="0"/>
    </xf>
    <xf borderId="17" fillId="0" fontId="5" numFmtId="164" xfId="0" applyAlignment="1" applyBorder="1" applyFont="1" applyNumberFormat="1">
      <alignment shrinkToFit="0" vertical="center" wrapText="0"/>
    </xf>
    <xf borderId="19" fillId="0" fontId="3" numFmtId="164" xfId="0" applyAlignment="1" applyBorder="1" applyFont="1" applyNumberFormat="1">
      <alignment shrinkToFit="0" vertical="center" wrapText="0"/>
    </xf>
    <xf borderId="20" fillId="0" fontId="3" numFmtId="0" xfId="0" applyAlignment="1" applyBorder="1" applyFont="1">
      <alignment shrinkToFit="0" vertical="center" wrapText="0"/>
    </xf>
    <xf borderId="18" fillId="0" fontId="5" numFmtId="2" xfId="0" applyAlignment="1" applyBorder="1" applyFont="1" applyNumberFormat="1">
      <alignment shrinkToFit="0" vertical="center" wrapText="0"/>
    </xf>
    <xf borderId="24" fillId="0" fontId="5" numFmtId="0" xfId="0" applyAlignment="1" applyBorder="1" applyFont="1">
      <alignment shrinkToFit="0" vertical="center" wrapText="0"/>
    </xf>
    <xf borderId="22" fillId="0" fontId="5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25" fillId="0" fontId="3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25" fillId="0" fontId="5" numFmtId="0" xfId="0" applyAlignment="1" applyBorder="1" applyFont="1">
      <alignment horizontal="center" shrinkToFit="0" vertical="center" wrapText="0"/>
    </xf>
    <xf borderId="26" fillId="0" fontId="5" numFmtId="0" xfId="0" applyAlignment="1" applyBorder="1" applyFont="1">
      <alignment horizontal="center" shrinkToFit="0" vertical="center" wrapText="0"/>
    </xf>
    <xf borderId="27" fillId="0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000000"/>
      </font>
      <fill>
        <patternFill patternType="solid">
          <fgColor rgb="FF980000"/>
          <bgColor rgb="FF980000"/>
        </patternFill>
      </fill>
      <border/>
    </dxf>
  </dxfs>
  <tableStyles count="12">
    <tableStyle count="3" pivot="0" name="Patient Records-style">
      <tableStyleElement dxfId="1" type="headerRow"/>
      <tableStyleElement dxfId="2" type="firstRowStripe"/>
      <tableStyleElement dxfId="3" type="secondRowStripe"/>
    </tableStyle>
    <tableStyle count="3" pivot="0" name="Data Analysis-style">
      <tableStyleElement dxfId="4" type="headerRow"/>
      <tableStyleElement dxfId="2" type="firstRowStripe"/>
      <tableStyleElement dxfId="5" type="secondRowStripe"/>
    </tableStyle>
    <tableStyle count="3" pivot="0" name="Data Analysis-style 2">
      <tableStyleElement dxfId="4" type="headerRow"/>
      <tableStyleElement dxfId="2" type="firstRowStripe"/>
      <tableStyleElement dxfId="5" type="secondRowStripe"/>
    </tableStyle>
    <tableStyle count="3" pivot="0" name="Data Analysis-style 3">
      <tableStyleElement dxfId="4" type="headerRow"/>
      <tableStyleElement dxfId="2" type="firstRowStripe"/>
      <tableStyleElement dxfId="5" type="secondRowStripe"/>
    </tableStyle>
    <tableStyle count="3" pivot="0" name="Data Analysis-style 4">
      <tableStyleElement dxfId="4" type="headerRow"/>
      <tableStyleElement dxfId="2" type="firstRowStripe"/>
      <tableStyleElement dxfId="5" type="secondRowStripe"/>
    </tableStyle>
    <tableStyle count="3" pivot="0" name="Summary Table-style">
      <tableStyleElement dxfId="4" type="headerRow"/>
      <tableStyleElement dxfId="2" type="firstRowStripe"/>
      <tableStyleElement dxfId="5" type="secondRowStripe"/>
    </tableStyle>
    <tableStyle count="3" pivot="0" name="Data Visualization-style">
      <tableStyleElement dxfId="4" type="headerRow"/>
      <tableStyleElement dxfId="2" type="firstRowStripe"/>
      <tableStyleElement dxfId="5" type="secondRowStripe"/>
    </tableStyle>
    <tableStyle count="3" pivot="0" name="Data Visualization-style 2">
      <tableStyleElement dxfId="4" type="headerRow"/>
      <tableStyleElement dxfId="2" type="firstRowStripe"/>
      <tableStyleElement dxfId="5" type="secondRowStripe"/>
    </tableStyle>
    <tableStyle count="3" pivot="0" name="Data Visualization-style 3">
      <tableStyleElement dxfId="4" type="headerRow"/>
      <tableStyleElement dxfId="2" type="firstRowStripe"/>
      <tableStyleElement dxfId="5" type="secondRowStripe"/>
    </tableStyle>
    <tableStyle count="3" pivot="0" name="VLOOKUP-style">
      <tableStyleElement dxfId="1" type="headerRow"/>
      <tableStyleElement dxfId="2" type="firstRowStripe"/>
      <tableStyleElement dxfId="3" type="secondRowStripe"/>
    </tableStyle>
    <tableStyle count="3" pivot="0" name="Conditional formatting-style">
      <tableStyleElement dxfId="1" type="headerRow"/>
      <tableStyleElement dxfId="2" type="firstRowStripe"/>
      <tableStyleElement dxfId="3" type="secondRowStripe"/>
    </tableStyle>
    <tableStyle count="3" pivot="0" name="Patient Respirato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Patient 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'Data Visualization'!$B$2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'Data Visualization'!$A$3:$A$4</c:f>
            </c:strRef>
          </c:cat>
          <c:val>
            <c:numRef>
              <c:f>'Data Visualization'!$B$3:$B$4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7B7B7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No. of Patients  vs. Admission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'Data Visualization'!$B$15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'Data Visualization'!$A$16:$A$35</c:f>
            </c:strRef>
          </c:cat>
          <c:val>
            <c:numRef>
              <c:f>'Data Visualization'!$B$16:$B$35</c:f>
              <c:numCache/>
            </c:numRef>
          </c:val>
          <c:smooth val="0"/>
        </c:ser>
        <c:axId val="117112247"/>
        <c:axId val="999736579"/>
      </c:lineChart>
      <c:catAx>
        <c:axId val="117112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Admission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736579"/>
      </c:catAx>
      <c:valAx>
        <c:axId val="999736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122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D9D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Age vs. Ward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'Data Visualization'!$B$38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'Data Visualization'!$A$39:$A$41</c:f>
            </c:strRef>
          </c:cat>
          <c:val>
            <c:numRef>
              <c:f>'Data Visualization'!$B$39:$B$41</c:f>
              <c:numCache/>
            </c:numRef>
          </c:val>
          <c:smooth val="0"/>
        </c:ser>
        <c:axId val="1994416361"/>
        <c:axId val="1184868027"/>
      </c:lineChart>
      <c:catAx>
        <c:axId val="1994416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4868027"/>
      </c:catAx>
      <c:valAx>
        <c:axId val="1184868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Age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416361"/>
      </c:valAx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FF0000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9525</xdr:rowOff>
    </xdr:from>
    <xdr:ext cx="4029075" cy="2486025"/>
    <xdr:graphicFrame>
      <xdr:nvGraphicFramePr>
        <xdr:cNvPr id="37630812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38100</xdr:colOff>
      <xdr:row>18</xdr:row>
      <xdr:rowOff>95250</xdr:rowOff>
    </xdr:from>
    <xdr:ext cx="5657850" cy="3495675"/>
    <xdr:graphicFrame>
      <xdr:nvGraphicFramePr>
        <xdr:cNvPr id="48101578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38100</xdr:colOff>
      <xdr:row>36</xdr:row>
      <xdr:rowOff>95250</xdr:rowOff>
    </xdr:from>
    <xdr:ext cx="5715000" cy="3533775"/>
    <xdr:graphicFrame>
      <xdr:nvGraphicFramePr>
        <xdr:cNvPr id="37602754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1" displayName="Patient_Records" name="Patient_Records" id="1">
  <tableColumns count="10">
    <tableColumn name="Patient ID" id="1"/>
    <tableColumn name="Name" id="2"/>
    <tableColumn name="Age" id="3"/>
    <tableColumn name="Gender" id="4"/>
    <tableColumn name="Admission Date" id="5"/>
    <tableColumn name="Discharge Date" id="6"/>
    <tableColumn name="Diagnosis" id="7"/>
    <tableColumn name="Ward" id="8"/>
    <tableColumn name="Insurance" id="9"/>
    <tableColumn name="Length of Stay" id="10"/>
  </tableColumns>
  <tableStyleInfo name="Patient Records-style" showColumnStripes="0" showFirstColumn="1" showLastColumn="1" showRowStripes="1"/>
</table>
</file>

<file path=xl/tables/table2.xml><?xml version="1.0" encoding="utf-8"?>
<table xmlns="http://schemas.openxmlformats.org/spreadsheetml/2006/main" ref="A1:B3" displayName="No._of_Patient" name="No._of_Patient" id="2">
  <tableColumns count="2">
    <tableColumn name="Gender" id="1"/>
    <tableColumn name="Count" id="2"/>
  </tableColumns>
  <tableStyleInfo name="Data Analysis-style" showColumnStripes="0" showFirstColumn="1" showLastColumn="1" showRowStripes="1"/>
</table>
</file>

<file path=xl/tables/table3.xml><?xml version="1.0" encoding="utf-8"?>
<table xmlns="http://schemas.openxmlformats.org/spreadsheetml/2006/main" ref="A6:B7" displayName="Patients_in_Cardiac_Ward" name="Patients_in_Cardiac_Ward" id="3">
  <tableColumns count="2">
    <tableColumn name="Ward" id="1"/>
    <tableColumn name="Patient" id="2"/>
  </tableColumns>
  <tableStyleInfo name="Data Analysis-style 2" showColumnStripes="0" showFirstColumn="1" showLastColumn="1" showRowStripes="1"/>
</table>
</file>

<file path=xl/tables/table4.xml><?xml version="1.0" encoding="utf-8"?>
<table xmlns="http://schemas.openxmlformats.org/spreadsheetml/2006/main" ref="A10:B11" displayName="Table1" name="Table1" id="4">
  <tableColumns count="2">
    <tableColumn name="Average Age of Patients" id="1"/>
    <tableColumn name="Column 1" id="2"/>
  </tableColumns>
  <tableStyleInfo name="Data Analysis-style 3" showColumnStripes="0" showFirstColumn="1" showLastColumn="1" showRowStripes="1"/>
</table>
</file>

<file path=xl/tables/table5.xml><?xml version="1.0" encoding="utf-8"?>
<table xmlns="http://schemas.openxmlformats.org/spreadsheetml/2006/main" ref="A13:B15" displayName="Table3" name="Table3" id="5">
  <tableColumns count="2">
    <tableColumn name="Length of Stays" id="1"/>
    <tableColumn name="Column 1" id="2"/>
  </tableColumns>
  <tableStyleInfo name="Data Analysis-style 4" showColumnStripes="0" showFirstColumn="1" showLastColumn="1" showRowStripes="1"/>
</table>
</file>

<file path=xl/tables/table6.xml><?xml version="1.0" encoding="utf-8"?>
<table xmlns="http://schemas.openxmlformats.org/spreadsheetml/2006/main" ref="A1:B6" displayName="Table_1" name="Table_1" id="6">
  <tableColumns count="2">
    <tableColumn name="Diagnosis" id="1"/>
    <tableColumn name="Patient Count" id="2"/>
  </tableColumns>
  <tableStyleInfo name="Summary Table-style" showColumnStripes="0" showFirstColumn="1" showLastColumn="1" showRowStripes="1"/>
</table>
</file>

<file path=xl/tables/table7.xml><?xml version="1.0" encoding="utf-8"?>
<table xmlns="http://schemas.openxmlformats.org/spreadsheetml/2006/main" ref="A2:B4" displayName="Table_2" name="Table_2" id="7">
  <tableColumns count="2">
    <tableColumn name="Gender" id="1"/>
    <tableColumn name="Patient Count" id="2"/>
  </tableColumns>
  <tableStyleInfo name="Data Visualization-style" showColumnStripes="0" showFirstColumn="1" showLastColumn="1" showRowStripes="1"/>
</table>
</file>

<file path=xl/tables/table8.xml><?xml version="1.0" encoding="utf-8"?>
<table xmlns="http://schemas.openxmlformats.org/spreadsheetml/2006/main" ref="A15:B35" displayName="Table2" name="Table2" id="8">
  <tableColumns count="2">
    <tableColumn name="Admission Date" id="1"/>
    <tableColumn name="Count" id="2"/>
  </tableColumns>
  <tableStyleInfo name="Data Visualization-style 2" showColumnStripes="0" showFirstColumn="1" showLastColumn="1" showRowStripes="1"/>
</table>
</file>

<file path=xl/tables/table9.xml><?xml version="1.0" encoding="utf-8"?>
<table xmlns="http://schemas.openxmlformats.org/spreadsheetml/2006/main" ref="A38:B41" displayName="Table_3" name="Table_3" id="9">
  <tableColumns count="2">
    <tableColumn name="Ward" id="1"/>
    <tableColumn name="Average Age" id="2"/>
  </tableColumns>
  <tableStyleInfo name="Data Visualization-style 3" showColumnStripes="0" showFirstColumn="1" showLastColumn="1" showRowStripes="1"/>
</table>
</file>

<file path=xl/tables/table10.xml><?xml version="1.0" encoding="utf-8"?>
<table xmlns="http://schemas.openxmlformats.org/spreadsheetml/2006/main" ref="A1:M21" displayName="Table4" name="Table4" id="10">
  <tableColumns count="13">
    <tableColumn name="Patient ID" id="1"/>
    <tableColumn name="Name" id="2"/>
    <tableColumn name="Age" id="3"/>
    <tableColumn name="Gender" id="4"/>
    <tableColumn name="Admission Date" id="5"/>
    <tableColumn name="Discharge Date" id="6"/>
    <tableColumn name="Diagnosis" id="7"/>
    <tableColumn name="Ward" id="8"/>
    <tableColumn name="Insurance" id="9"/>
    <tableColumn name="Length of Stay" id="10"/>
    <tableColumn name="Ward Code" id="11"/>
    <tableColumn name="Full Name Ward" id="12"/>
    <tableColumn name="Column 1" id="13"/>
  </tableColumns>
  <tableStyleInfo name="VLOOKUP-style" showColumnStripes="0" showFirstColumn="1" showLastColumn="1" showRowStripes="1"/>
</table>
</file>

<file path=xl/tables/table11.xml><?xml version="1.0" encoding="utf-8"?>
<table xmlns="http://schemas.openxmlformats.org/spreadsheetml/2006/main" ref="A1:J21" displayName="Patient_over_age_of_60" name="Patient_over_age_of_60" id="11">
  <tableColumns count="10">
    <tableColumn name="Patient ID" id="1"/>
    <tableColumn name="Name" id="2"/>
    <tableColumn name="Age" id="3"/>
    <tableColumn name="Gender" id="4"/>
    <tableColumn name="Admission Date" id="5"/>
    <tableColumn name="Discharge Date" id="6"/>
    <tableColumn name="Diagnosis" id="7"/>
    <tableColumn name="Ward" id="8"/>
    <tableColumn name="Insurance" id="9"/>
    <tableColumn name="Length of Stay" id="10"/>
  </tableColumns>
  <tableStyleInfo name="Conditional formatting-style" showColumnStripes="0" showFirstColumn="1" showLastColumn="1" showRowStripes="1"/>
</table>
</file>

<file path=xl/tables/table12.xml><?xml version="1.0" encoding="utf-8"?>
<table xmlns="http://schemas.openxmlformats.org/spreadsheetml/2006/main" ref="A1:J21" displayName="Patient_admitted_to_the_Respiratory_Ward" name="Patient_admitted_to_the_Respiratory_Ward" id="12">
  <autoFilter ref="$A$1:$J$21">
    <filterColumn colId="7">
      <filters>
        <filter val="Respiratory"/>
      </filters>
    </filterColumn>
  </autoFilter>
  <tableColumns count="10">
    <tableColumn name="Patient ID" id="1"/>
    <tableColumn name="Name" id="2"/>
    <tableColumn name="Age" id="3"/>
    <tableColumn name="Gender" id="4"/>
    <tableColumn name="Admission Date" id="5"/>
    <tableColumn name="Discharge Date" id="6"/>
    <tableColumn name="Diagnosis" id="7"/>
    <tableColumn name="Ward" id="8"/>
    <tableColumn name="Insurance" id="9"/>
    <tableColumn name="Length of Stay" id="10"/>
  </tableColumns>
  <tableStyleInfo name="Patient Respirat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5.75" customHeight="1">
      <c r="A2" s="3">
        <v>1001.0</v>
      </c>
      <c r="B2" s="4" t="s">
        <v>10</v>
      </c>
      <c r="C2" s="5">
        <v>35.0</v>
      </c>
      <c r="D2" s="6" t="s">
        <v>11</v>
      </c>
      <c r="E2" s="7">
        <v>45225.0</v>
      </c>
      <c r="F2" s="7">
        <v>45232.0</v>
      </c>
      <c r="G2" s="8" t="s">
        <v>12</v>
      </c>
      <c r="H2" s="9" t="s">
        <v>13</v>
      </c>
      <c r="I2" s="6" t="s">
        <v>14</v>
      </c>
      <c r="J2" s="10">
        <f t="shared" ref="J2:J21" si="1">DATEDIF(E2, F2, "D")</f>
        <v>7</v>
      </c>
    </row>
    <row r="3" ht="15.75" customHeight="1">
      <c r="A3" s="11">
        <v>1002.0</v>
      </c>
      <c r="B3" s="12" t="s">
        <v>15</v>
      </c>
      <c r="C3" s="13">
        <v>62.0</v>
      </c>
      <c r="D3" s="14" t="s">
        <v>16</v>
      </c>
      <c r="E3" s="15">
        <v>45226.0</v>
      </c>
      <c r="F3" s="15">
        <v>45235.0</v>
      </c>
      <c r="G3" s="14" t="s">
        <v>17</v>
      </c>
      <c r="H3" s="14" t="s">
        <v>18</v>
      </c>
      <c r="I3" s="14" t="s">
        <v>14</v>
      </c>
      <c r="J3" s="16">
        <f t="shared" si="1"/>
        <v>9</v>
      </c>
    </row>
    <row r="4" ht="15.75" customHeight="1">
      <c r="A4" s="17">
        <v>1003.0</v>
      </c>
      <c r="B4" s="18" t="s">
        <v>19</v>
      </c>
      <c r="C4" s="19">
        <v>28.0</v>
      </c>
      <c r="D4" s="19" t="s">
        <v>11</v>
      </c>
      <c r="E4" s="20">
        <v>45227.0</v>
      </c>
      <c r="F4" s="20">
        <v>45231.0</v>
      </c>
      <c r="G4" s="19" t="s">
        <v>20</v>
      </c>
      <c r="H4" s="19" t="s">
        <v>21</v>
      </c>
      <c r="I4" s="19" t="s">
        <v>22</v>
      </c>
      <c r="J4" s="21">
        <f t="shared" si="1"/>
        <v>4</v>
      </c>
    </row>
    <row r="5" ht="15.75" customHeight="1">
      <c r="A5" s="22">
        <v>1004.0</v>
      </c>
      <c r="B5" s="4" t="s">
        <v>23</v>
      </c>
      <c r="C5" s="5">
        <v>45.0</v>
      </c>
      <c r="D5" s="6" t="s">
        <v>16</v>
      </c>
      <c r="E5" s="7">
        <v>45228.0</v>
      </c>
      <c r="F5" s="7">
        <v>45238.0</v>
      </c>
      <c r="G5" s="6" t="s">
        <v>24</v>
      </c>
      <c r="H5" s="6" t="s">
        <v>25</v>
      </c>
      <c r="I5" s="6" t="s">
        <v>14</v>
      </c>
      <c r="J5" s="10">
        <f t="shared" si="1"/>
        <v>10</v>
      </c>
    </row>
    <row r="6" ht="15.75" customHeight="1">
      <c r="A6" s="11">
        <v>1005.0</v>
      </c>
      <c r="B6" s="12" t="s">
        <v>26</v>
      </c>
      <c r="C6" s="13">
        <v>70.0</v>
      </c>
      <c r="D6" s="14" t="s">
        <v>11</v>
      </c>
      <c r="E6" s="15">
        <v>45229.0</v>
      </c>
      <c r="F6" s="15">
        <v>45237.0</v>
      </c>
      <c r="G6" s="14" t="s">
        <v>17</v>
      </c>
      <c r="H6" s="14" t="s">
        <v>18</v>
      </c>
      <c r="I6" s="14" t="s">
        <v>14</v>
      </c>
      <c r="J6" s="16">
        <f t="shared" si="1"/>
        <v>8</v>
      </c>
    </row>
    <row r="7" ht="15.75" customHeight="1">
      <c r="A7" s="22">
        <v>1006.0</v>
      </c>
      <c r="B7" s="4" t="s">
        <v>27</v>
      </c>
      <c r="C7" s="5">
        <v>30.0</v>
      </c>
      <c r="D7" s="6" t="s">
        <v>16</v>
      </c>
      <c r="E7" s="7">
        <v>45230.0</v>
      </c>
      <c r="F7" s="7">
        <v>45233.0</v>
      </c>
      <c r="G7" s="8" t="s">
        <v>12</v>
      </c>
      <c r="H7" s="8" t="s">
        <v>13</v>
      </c>
      <c r="I7" s="6" t="s">
        <v>22</v>
      </c>
      <c r="J7" s="10">
        <f t="shared" si="1"/>
        <v>3</v>
      </c>
      <c r="L7" s="23"/>
    </row>
    <row r="8" ht="15.75" customHeight="1">
      <c r="A8" s="11">
        <v>1007.0</v>
      </c>
      <c r="B8" s="12" t="s">
        <v>28</v>
      </c>
      <c r="C8" s="13">
        <v>55.0</v>
      </c>
      <c r="D8" s="14" t="s">
        <v>11</v>
      </c>
      <c r="E8" s="15">
        <v>45231.0</v>
      </c>
      <c r="F8" s="15">
        <v>45240.0</v>
      </c>
      <c r="G8" s="24" t="s">
        <v>29</v>
      </c>
      <c r="H8" s="24" t="s">
        <v>21</v>
      </c>
      <c r="I8" s="14" t="s">
        <v>14</v>
      </c>
      <c r="J8" s="16">
        <f t="shared" si="1"/>
        <v>9</v>
      </c>
    </row>
    <row r="9" ht="15.75" customHeight="1">
      <c r="A9" s="22">
        <v>1008.0</v>
      </c>
      <c r="B9" s="4" t="s">
        <v>30</v>
      </c>
      <c r="C9" s="5">
        <v>40.0</v>
      </c>
      <c r="D9" s="6" t="s">
        <v>16</v>
      </c>
      <c r="E9" s="7">
        <v>45232.0</v>
      </c>
      <c r="F9" s="7">
        <v>45236.0</v>
      </c>
      <c r="G9" s="8" t="s">
        <v>31</v>
      </c>
      <c r="H9" s="8" t="s">
        <v>13</v>
      </c>
      <c r="I9" s="6" t="s">
        <v>14</v>
      </c>
      <c r="J9" s="10">
        <f t="shared" si="1"/>
        <v>4</v>
      </c>
    </row>
    <row r="10" ht="15.75" customHeight="1">
      <c r="A10" s="11">
        <v>1009.0</v>
      </c>
      <c r="B10" s="12" t="s">
        <v>32</v>
      </c>
      <c r="C10" s="13">
        <v>68.0</v>
      </c>
      <c r="D10" s="14" t="s">
        <v>11</v>
      </c>
      <c r="E10" s="15">
        <v>45233.0</v>
      </c>
      <c r="F10" s="15">
        <v>45242.0</v>
      </c>
      <c r="G10" s="14" t="s">
        <v>24</v>
      </c>
      <c r="H10" s="14" t="s">
        <v>25</v>
      </c>
      <c r="I10" s="14" t="s">
        <v>22</v>
      </c>
      <c r="J10" s="16">
        <f t="shared" si="1"/>
        <v>9</v>
      </c>
    </row>
    <row r="11" ht="15.75" customHeight="1">
      <c r="A11" s="22">
        <v>1010.0</v>
      </c>
      <c r="B11" s="4" t="s">
        <v>33</v>
      </c>
      <c r="C11" s="5">
        <v>25.0</v>
      </c>
      <c r="D11" s="6" t="s">
        <v>16</v>
      </c>
      <c r="E11" s="7">
        <v>45234.0</v>
      </c>
      <c r="F11" s="7">
        <v>45239.0</v>
      </c>
      <c r="G11" s="8" t="s">
        <v>12</v>
      </c>
      <c r="H11" s="8" t="s">
        <v>21</v>
      </c>
      <c r="I11" s="6" t="s">
        <v>14</v>
      </c>
      <c r="J11" s="10">
        <f t="shared" si="1"/>
        <v>5</v>
      </c>
    </row>
    <row r="12" ht="15.75" customHeight="1">
      <c r="A12" s="11">
        <v>1011.0</v>
      </c>
      <c r="B12" s="12" t="s">
        <v>34</v>
      </c>
      <c r="C12" s="13">
        <v>48.0</v>
      </c>
      <c r="D12" s="14" t="s">
        <v>11</v>
      </c>
      <c r="E12" s="15">
        <v>45235.0</v>
      </c>
      <c r="F12" s="15">
        <v>45241.0</v>
      </c>
      <c r="G12" s="14" t="s">
        <v>17</v>
      </c>
      <c r="H12" s="14" t="s">
        <v>18</v>
      </c>
      <c r="I12" s="14" t="s">
        <v>14</v>
      </c>
      <c r="J12" s="16">
        <f t="shared" si="1"/>
        <v>6</v>
      </c>
    </row>
    <row r="13" ht="15.75" customHeight="1">
      <c r="A13" s="22">
        <v>1012.0</v>
      </c>
      <c r="B13" s="4" t="s">
        <v>35</v>
      </c>
      <c r="C13" s="5">
        <v>32.0</v>
      </c>
      <c r="D13" s="6" t="s">
        <v>16</v>
      </c>
      <c r="E13" s="7">
        <v>45236.0</v>
      </c>
      <c r="F13" s="7">
        <v>45238.0</v>
      </c>
      <c r="G13" s="8" t="s">
        <v>31</v>
      </c>
      <c r="H13" s="8" t="s">
        <v>13</v>
      </c>
      <c r="I13" s="6" t="s">
        <v>22</v>
      </c>
      <c r="J13" s="10">
        <f t="shared" si="1"/>
        <v>2</v>
      </c>
    </row>
    <row r="14" ht="15.75" customHeight="1">
      <c r="A14" s="11">
        <v>1013.0</v>
      </c>
      <c r="B14" s="12" t="s">
        <v>36</v>
      </c>
      <c r="C14" s="13">
        <v>60.0</v>
      </c>
      <c r="D14" s="14" t="s">
        <v>11</v>
      </c>
      <c r="E14" s="15">
        <v>45237.0</v>
      </c>
      <c r="F14" s="15">
        <v>45244.0</v>
      </c>
      <c r="G14" s="24" t="s">
        <v>29</v>
      </c>
      <c r="H14" s="24" t="s">
        <v>21</v>
      </c>
      <c r="I14" s="14" t="s">
        <v>14</v>
      </c>
      <c r="J14" s="16">
        <f t="shared" si="1"/>
        <v>7</v>
      </c>
    </row>
    <row r="15" ht="15.75" customHeight="1">
      <c r="A15" s="22">
        <v>1014.0</v>
      </c>
      <c r="B15" s="4" t="s">
        <v>37</v>
      </c>
      <c r="C15" s="5">
        <v>50.0</v>
      </c>
      <c r="D15" s="6" t="s">
        <v>16</v>
      </c>
      <c r="E15" s="7">
        <v>45238.0</v>
      </c>
      <c r="F15" s="7">
        <v>45242.0</v>
      </c>
      <c r="G15" s="6" t="s">
        <v>24</v>
      </c>
      <c r="H15" s="6" t="s">
        <v>25</v>
      </c>
      <c r="I15" s="6" t="s">
        <v>14</v>
      </c>
      <c r="J15" s="10">
        <f t="shared" si="1"/>
        <v>4</v>
      </c>
    </row>
    <row r="16" ht="15.75" customHeight="1">
      <c r="A16" s="11">
        <v>1015.0</v>
      </c>
      <c r="B16" s="12" t="s">
        <v>38</v>
      </c>
      <c r="C16" s="13">
        <v>29.0</v>
      </c>
      <c r="D16" s="14" t="s">
        <v>11</v>
      </c>
      <c r="E16" s="15">
        <v>45239.0</v>
      </c>
      <c r="F16" s="15">
        <v>45240.0</v>
      </c>
      <c r="G16" s="24" t="s">
        <v>12</v>
      </c>
      <c r="H16" s="24" t="s">
        <v>13</v>
      </c>
      <c r="I16" s="14" t="s">
        <v>22</v>
      </c>
      <c r="J16" s="16">
        <f t="shared" si="1"/>
        <v>1</v>
      </c>
    </row>
    <row r="17" ht="15.75" customHeight="1">
      <c r="A17" s="22">
        <v>1016.0</v>
      </c>
      <c r="B17" s="4" t="s">
        <v>39</v>
      </c>
      <c r="C17" s="5">
        <v>75.0</v>
      </c>
      <c r="D17" s="6" t="s">
        <v>16</v>
      </c>
      <c r="E17" s="7">
        <v>45240.0</v>
      </c>
      <c r="F17" s="7">
        <v>45245.0</v>
      </c>
      <c r="G17" s="6" t="s">
        <v>17</v>
      </c>
      <c r="H17" s="6" t="s">
        <v>18</v>
      </c>
      <c r="I17" s="6" t="s">
        <v>14</v>
      </c>
      <c r="J17" s="10">
        <f t="shared" si="1"/>
        <v>5</v>
      </c>
    </row>
    <row r="18" ht="15.75" customHeight="1">
      <c r="A18" s="11">
        <v>1017.0</v>
      </c>
      <c r="B18" s="12" t="s">
        <v>40</v>
      </c>
      <c r="C18" s="13">
        <v>38.0</v>
      </c>
      <c r="D18" s="14" t="s">
        <v>11</v>
      </c>
      <c r="E18" s="15">
        <v>45241.0</v>
      </c>
      <c r="F18" s="15">
        <v>45243.0</v>
      </c>
      <c r="G18" s="24" t="s">
        <v>31</v>
      </c>
      <c r="H18" s="24" t="s">
        <v>21</v>
      </c>
      <c r="I18" s="14" t="s">
        <v>14</v>
      </c>
      <c r="J18" s="16">
        <f t="shared" si="1"/>
        <v>2</v>
      </c>
    </row>
    <row r="19" ht="15.75" customHeight="1">
      <c r="A19" s="22">
        <v>1018.0</v>
      </c>
      <c r="B19" s="4" t="s">
        <v>41</v>
      </c>
      <c r="C19" s="5">
        <v>42.0</v>
      </c>
      <c r="D19" s="6" t="s">
        <v>16</v>
      </c>
      <c r="E19" s="7">
        <v>45242.0</v>
      </c>
      <c r="F19" s="7">
        <v>45246.0</v>
      </c>
      <c r="G19" s="8" t="s">
        <v>29</v>
      </c>
      <c r="H19" s="8" t="s">
        <v>13</v>
      </c>
      <c r="I19" s="6" t="s">
        <v>22</v>
      </c>
      <c r="J19" s="10">
        <f t="shared" si="1"/>
        <v>4</v>
      </c>
    </row>
    <row r="20" ht="15.75" customHeight="1">
      <c r="A20" s="11">
        <v>1019.0</v>
      </c>
      <c r="B20" s="12" t="s">
        <v>42</v>
      </c>
      <c r="C20" s="13">
        <v>65.0</v>
      </c>
      <c r="D20" s="14" t="s">
        <v>11</v>
      </c>
      <c r="E20" s="15">
        <v>45243.0</v>
      </c>
      <c r="F20" s="15">
        <v>45247.0</v>
      </c>
      <c r="G20" s="14" t="s">
        <v>24</v>
      </c>
      <c r="H20" s="14" t="s">
        <v>25</v>
      </c>
      <c r="I20" s="14" t="s">
        <v>14</v>
      </c>
      <c r="J20" s="16">
        <f t="shared" si="1"/>
        <v>4</v>
      </c>
    </row>
    <row r="21" ht="15.75" customHeight="1">
      <c r="A21" s="25">
        <v>1020.0</v>
      </c>
      <c r="B21" s="26" t="s">
        <v>43</v>
      </c>
      <c r="C21" s="27">
        <v>33.0</v>
      </c>
      <c r="D21" s="28" t="s">
        <v>16</v>
      </c>
      <c r="E21" s="29">
        <v>45244.0</v>
      </c>
      <c r="F21" s="29">
        <v>45248.0</v>
      </c>
      <c r="G21" s="30" t="s">
        <v>12</v>
      </c>
      <c r="H21" s="30" t="s">
        <v>21</v>
      </c>
      <c r="I21" s="28" t="s">
        <v>14</v>
      </c>
      <c r="J21" s="31">
        <f t="shared" si="1"/>
        <v>4</v>
      </c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ht="15.75" customHeight="1"/>
    <row r="24" ht="15.75" customHeight="1"/>
    <row r="25" ht="15.75" customHeight="1">
      <c r="A25" s="33" t="s">
        <v>6</v>
      </c>
      <c r="B25" s="33" t="s">
        <v>44</v>
      </c>
    </row>
    <row r="26" ht="15.75" customHeight="1">
      <c r="A26" s="33" t="s">
        <v>45</v>
      </c>
    </row>
    <row r="27" ht="15.75" customHeight="1">
      <c r="A27" s="33" t="s">
        <v>46</v>
      </c>
    </row>
    <row r="28" ht="15.75" customHeight="1">
      <c r="A28" s="33" t="s">
        <v>17</v>
      </c>
    </row>
    <row r="29" ht="15.75" customHeight="1">
      <c r="A29" s="33" t="s">
        <v>47</v>
      </c>
    </row>
    <row r="30" ht="15.75" customHeight="1">
      <c r="A30" s="33" t="s">
        <v>24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DropDown="1" showErrorMessage="1" sqref="D2:D21">
      <formula1>"Female,Male"</formula1>
    </dataValidation>
    <dataValidation type="custom" allowBlank="1" showDropDown="1" sqref="E2:F21">
      <formula1>OR(NOT(ISERROR(DATEVALUE(E2))), AND(ISNUMBER(E2), LEFT(CELL("format", E2))="D"))</formula1>
    </dataValidation>
    <dataValidation type="list" allowBlank="1" showDropDown="1" showErrorMessage="1" sqref="I2:I21">
      <formula1>"Yes,No"</formula1>
    </dataValidation>
    <dataValidation type="list" allowBlank="1" showDropDown="1" showErrorMessage="1" sqref="H2:H21">
      <formula1>"Medical A,Cardiac,Respiratory,Medical B"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3.25"/>
    <col customWidth="1" min="5" max="6" width="12.63"/>
  </cols>
  <sheetData>
    <row r="1" ht="15.75" customHeight="1">
      <c r="A1" s="34" t="s">
        <v>3</v>
      </c>
      <c r="B1" s="35" t="s">
        <v>48</v>
      </c>
    </row>
    <row r="2" ht="15.75" customHeight="1">
      <c r="A2" s="36" t="s">
        <v>16</v>
      </c>
      <c r="B2" s="37">
        <f>COUNTIF('Patient Records'!A2:J21,'Patient Records'!D2)</f>
        <v>10</v>
      </c>
      <c r="D2" s="32"/>
    </row>
    <row r="3" ht="15.75" customHeight="1">
      <c r="A3" s="38" t="s">
        <v>11</v>
      </c>
      <c r="B3" s="39">
        <f>COUNTIF('Patient Records'!A2:J21,'Patient Records'!D3)</f>
        <v>10</v>
      </c>
      <c r="D3" s="32"/>
    </row>
    <row r="4" ht="15.75" customHeight="1">
      <c r="D4" s="32"/>
    </row>
    <row r="5" ht="15.75" customHeight="1">
      <c r="A5" s="40"/>
      <c r="D5" s="32"/>
    </row>
    <row r="6" ht="15.75" customHeight="1">
      <c r="A6" s="41" t="s">
        <v>7</v>
      </c>
      <c r="B6" s="42" t="s">
        <v>49</v>
      </c>
      <c r="D6" s="32"/>
    </row>
    <row r="7" ht="15.75" customHeight="1">
      <c r="A7" s="43" t="s">
        <v>18</v>
      </c>
      <c r="B7" s="44">
        <f>COUNTIFS('Patient Records'!$H$2:$H$21, "Cardiac", 'Patient Records'!$I$2:$I$21, "Yes")</f>
        <v>4</v>
      </c>
      <c r="D7" s="32"/>
    </row>
    <row r="8" ht="15.75" customHeight="1"/>
    <row r="9" ht="15.75" customHeight="1"/>
    <row r="10" ht="15.75" customHeight="1">
      <c r="A10" s="41" t="s">
        <v>50</v>
      </c>
      <c r="B10" s="45" t="s">
        <v>51</v>
      </c>
    </row>
    <row r="11" ht="15.75" customHeight="1">
      <c r="A11" s="43" t="s">
        <v>52</v>
      </c>
      <c r="B11" s="46">
        <f>AVERAGE('Patient Records'!C2:C21)</f>
        <v>46.5</v>
      </c>
    </row>
    <row r="12" ht="15.75" customHeight="1"/>
    <row r="13" ht="15.75" customHeight="1">
      <c r="A13" s="41" t="s">
        <v>53</v>
      </c>
      <c r="B13" s="45" t="s">
        <v>51</v>
      </c>
    </row>
    <row r="14" ht="15.75" customHeight="1">
      <c r="A14" s="36" t="s">
        <v>54</v>
      </c>
      <c r="B14" s="37">
        <f>MAX('Patient Records'!$J$2:$J$21)</f>
        <v>10</v>
      </c>
    </row>
    <row r="15" ht="15.75" customHeight="1">
      <c r="A15" s="38" t="s">
        <v>55</v>
      </c>
      <c r="B15" s="39">
        <f>MIN('Patient Records'!$J$2:$J$21)</f>
        <v>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qref="B11">
      <formula1>AND(ISNUMBER(B11),(NOT(OR(NOT(ISERROR(DATEVALUE(B11))), AND(ISNUMBER(B11), LEFT(CELL("format", B11))="D")))))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5"/>
    <col customWidth="1" min="2" max="2" width="15.63"/>
    <col customWidth="1" min="3" max="6" width="12.63"/>
  </cols>
  <sheetData>
    <row r="1" ht="15.75" customHeight="1">
      <c r="A1" s="47" t="s">
        <v>6</v>
      </c>
      <c r="B1" s="48" t="s">
        <v>56</v>
      </c>
    </row>
    <row r="2" ht="15.75" customHeight="1">
      <c r="A2" s="49" t="s">
        <v>47</v>
      </c>
      <c r="B2" s="50">
        <f>COUNTIF('Patient Records'!A2:J21,'Patient Records'!G2)</f>
        <v>5</v>
      </c>
    </row>
    <row r="3" ht="15.75" customHeight="1">
      <c r="A3" s="51" t="s">
        <v>17</v>
      </c>
      <c r="B3" s="50">
        <f>COUNTIF('Patient Records'!A3:J22,'Patient Records'!G3)</f>
        <v>4</v>
      </c>
    </row>
    <row r="4" ht="15.75" customHeight="1">
      <c r="A4" s="49" t="s">
        <v>57</v>
      </c>
      <c r="B4" s="50">
        <f>COUNTIF('Patient Records'!A4:J23,'Patient Records'!G4)</f>
        <v>1</v>
      </c>
    </row>
    <row r="5" ht="15.75" customHeight="1">
      <c r="A5" s="51" t="s">
        <v>24</v>
      </c>
      <c r="B5" s="50">
        <f>COUNTIF('Patient Records'!A5:J24,'Patient Records'!G5)</f>
        <v>4</v>
      </c>
    </row>
    <row r="6" ht="15.75" customHeight="1">
      <c r="A6" s="52" t="s">
        <v>45</v>
      </c>
      <c r="B6" s="50">
        <f>COUNTIF('Patient Records'!A6:J25,'Patient Records'!G6)</f>
        <v>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5.63"/>
    <col customWidth="1" min="3" max="6" width="12.63"/>
  </cols>
  <sheetData>
    <row r="1" ht="15.75" customHeight="1"/>
    <row r="2" ht="15.75" customHeight="1">
      <c r="A2" s="47" t="s">
        <v>3</v>
      </c>
      <c r="B2" s="48" t="s">
        <v>56</v>
      </c>
    </row>
    <row r="3" ht="15.75" customHeight="1">
      <c r="A3" s="49" t="s">
        <v>16</v>
      </c>
      <c r="B3" s="50">
        <f>COUNTIF('Patient Records'!D2:D22, "Male")</f>
        <v>10</v>
      </c>
    </row>
    <row r="4" ht="15.75" customHeight="1">
      <c r="A4" s="53" t="s">
        <v>11</v>
      </c>
      <c r="B4" s="54">
        <f>COUNTIF('Patient Records'!D2:D22, "Female")</f>
        <v>10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55" t="s">
        <v>4</v>
      </c>
      <c r="B15" s="56" t="s">
        <v>48</v>
      </c>
    </row>
    <row r="16" ht="15.75" customHeight="1">
      <c r="A16" s="57">
        <f>IFERROR(__xludf.DUMMYFUNCTION("UNIQUE('Patient Records'!E2:E21,E2)"),45225.0)</f>
        <v>45225</v>
      </c>
      <c r="B16" s="58">
        <f>IFERROR(__xludf.DUMMYFUNCTION("UNIQUE(COUNTIF(Patient_Records[Admission Date],'Patient Records'!E2))"),1.0)</f>
        <v>1</v>
      </c>
    </row>
    <row r="17" ht="15.75" customHeight="1">
      <c r="A17" s="59">
        <f>IFERROR(__xludf.DUMMYFUNCTION("""COMPUTED_VALUE"""),45226.0)</f>
        <v>45226</v>
      </c>
      <c r="B17" s="60">
        <f>IFERROR(__xludf.DUMMYFUNCTION("unique(COUNTIF(Patient_Records[Admission Date],'Patient Records'!E3))"),1.0)</f>
        <v>1</v>
      </c>
    </row>
    <row r="18" ht="15.75" customHeight="1">
      <c r="A18" s="61">
        <f>IFERROR(__xludf.DUMMYFUNCTION("""COMPUTED_VALUE"""),45227.0)</f>
        <v>45227</v>
      </c>
      <c r="B18" s="58">
        <f>IFERROR(__xludf.DUMMYFUNCTION("unique(COUNTIF(Patient_Records[Admission Date],'Patient Records'!E4))"),1.0)</f>
        <v>1</v>
      </c>
    </row>
    <row r="19" ht="15.75" customHeight="1">
      <c r="A19" s="59">
        <f>IFERROR(__xludf.DUMMYFUNCTION("""COMPUTED_VALUE"""),45228.0)</f>
        <v>45228</v>
      </c>
      <c r="B19" s="60">
        <f>IFERROR(__xludf.DUMMYFUNCTION("unique(COUNTIF(Patient_Records[Admission Date],'Patient Records'!E5))"),1.0)</f>
        <v>1</v>
      </c>
    </row>
    <row r="20" ht="15.75" customHeight="1">
      <c r="A20" s="57">
        <f>IFERROR(__xludf.DUMMYFUNCTION("""COMPUTED_VALUE"""),45229.0)</f>
        <v>45229</v>
      </c>
      <c r="B20" s="58">
        <f>IFERROR(__xludf.DUMMYFUNCTION("unique(COUNTIF(Patient_Records[Admission Date],'Patient Records'!E6))"),1.0)</f>
        <v>1</v>
      </c>
    </row>
    <row r="21" ht="15.75" customHeight="1">
      <c r="A21" s="59">
        <f>IFERROR(__xludf.DUMMYFUNCTION("""COMPUTED_VALUE"""),45230.0)</f>
        <v>45230</v>
      </c>
      <c r="B21" s="60">
        <f>IFERROR(__xludf.DUMMYFUNCTION("unique(COUNTIF(Patient_Records[Admission Date],'Patient Records'!E7))"),1.0)</f>
        <v>1</v>
      </c>
    </row>
    <row r="22" ht="15.75" customHeight="1">
      <c r="A22" s="57">
        <f>IFERROR(__xludf.DUMMYFUNCTION("""COMPUTED_VALUE"""),45231.0)</f>
        <v>45231</v>
      </c>
      <c r="B22" s="58">
        <f>IFERROR(__xludf.DUMMYFUNCTION("unique(COUNTIF(Patient_Records[Admission Date],'Patient Records'!E8))"),1.0)</f>
        <v>1</v>
      </c>
    </row>
    <row r="23" ht="15.75" customHeight="1">
      <c r="A23" s="59">
        <f>IFERROR(__xludf.DUMMYFUNCTION("""COMPUTED_VALUE"""),45232.0)</f>
        <v>45232</v>
      </c>
      <c r="B23" s="60">
        <f>IFERROR(__xludf.DUMMYFUNCTION("unique(COUNTIF(Patient_Records[Admission Date],'Patient Records'!E9))"),1.0)</f>
        <v>1</v>
      </c>
    </row>
    <row r="24" ht="15.75" customHeight="1">
      <c r="A24" s="57">
        <f>IFERROR(__xludf.DUMMYFUNCTION("""COMPUTED_VALUE"""),45233.0)</f>
        <v>45233</v>
      </c>
      <c r="B24" s="58">
        <f>IFERROR(__xludf.DUMMYFUNCTION("unique(COUNTIF(Patient_Records[Admission Date],'Patient Records'!E10))"),1.0)</f>
        <v>1</v>
      </c>
    </row>
    <row r="25" ht="15.75" customHeight="1">
      <c r="A25" s="59">
        <f>IFERROR(__xludf.DUMMYFUNCTION("""COMPUTED_VALUE"""),45234.0)</f>
        <v>45234</v>
      </c>
      <c r="B25" s="60">
        <f>IFERROR(__xludf.DUMMYFUNCTION("unique(COUNTIF(Patient_Records[Admission Date],'Patient Records'!E11))"),1.0)</f>
        <v>1</v>
      </c>
    </row>
    <row r="26" ht="15.75" customHeight="1">
      <c r="A26" s="57">
        <f>IFERROR(__xludf.DUMMYFUNCTION("""COMPUTED_VALUE"""),45235.0)</f>
        <v>45235</v>
      </c>
      <c r="B26" s="58">
        <f>IFERROR(__xludf.DUMMYFUNCTION("unique(COUNTIF(Patient_Records[Admission Date],'Patient Records'!E12))"),1.0)</f>
        <v>1</v>
      </c>
    </row>
    <row r="27" ht="15.75" customHeight="1">
      <c r="A27" s="59">
        <f>IFERROR(__xludf.DUMMYFUNCTION("""COMPUTED_VALUE"""),45236.0)</f>
        <v>45236</v>
      </c>
      <c r="B27" s="60">
        <f>IFERROR(__xludf.DUMMYFUNCTION("unique(COUNTIF(Patient_Records[Admission Date],'Patient Records'!E13))"),1.0)</f>
        <v>1</v>
      </c>
    </row>
    <row r="28" ht="15.75" customHeight="1">
      <c r="A28" s="57">
        <f>IFERROR(__xludf.DUMMYFUNCTION("""COMPUTED_VALUE"""),45237.0)</f>
        <v>45237</v>
      </c>
      <c r="B28" s="58">
        <f>IFERROR(__xludf.DUMMYFUNCTION("unique(COUNTIF(Patient_Records[Admission Date],'Patient Records'!E14))"),1.0)</f>
        <v>1</v>
      </c>
    </row>
    <row r="29" ht="15.75" customHeight="1">
      <c r="A29" s="59">
        <f>IFERROR(__xludf.DUMMYFUNCTION("""COMPUTED_VALUE"""),45238.0)</f>
        <v>45238</v>
      </c>
      <c r="B29" s="60">
        <f>IFERROR(__xludf.DUMMYFUNCTION("unique(COUNTIF(Patient_Records[Admission Date],'Patient Records'!E15))"),1.0)</f>
        <v>1</v>
      </c>
    </row>
    <row r="30" ht="15.75" customHeight="1">
      <c r="A30" s="57">
        <f>IFERROR(__xludf.DUMMYFUNCTION("""COMPUTED_VALUE"""),45239.0)</f>
        <v>45239</v>
      </c>
      <c r="B30" s="58">
        <f>IFERROR(__xludf.DUMMYFUNCTION("unique(COUNTIF(Patient_Records[Admission Date],'Patient Records'!E16))"),1.0)</f>
        <v>1</v>
      </c>
    </row>
    <row r="31" ht="15.75" customHeight="1">
      <c r="A31" s="59">
        <f>IFERROR(__xludf.DUMMYFUNCTION("""COMPUTED_VALUE"""),45240.0)</f>
        <v>45240</v>
      </c>
      <c r="B31" s="60">
        <f>IFERROR(__xludf.DUMMYFUNCTION("unique(COUNTIF(Patient_Records[Admission Date],'Patient Records'!E17))"),1.0)</f>
        <v>1</v>
      </c>
    </row>
    <row r="32" ht="15.75" customHeight="1">
      <c r="A32" s="57">
        <f>IFERROR(__xludf.DUMMYFUNCTION("""COMPUTED_VALUE"""),45241.0)</f>
        <v>45241</v>
      </c>
      <c r="B32" s="58">
        <f>IFERROR(__xludf.DUMMYFUNCTION("unique(COUNTIF(Patient_Records[Admission Date],'Patient Records'!E18))"),1.0)</f>
        <v>1</v>
      </c>
    </row>
    <row r="33" ht="15.75" customHeight="1">
      <c r="A33" s="59">
        <f>IFERROR(__xludf.DUMMYFUNCTION("""COMPUTED_VALUE"""),45242.0)</f>
        <v>45242</v>
      </c>
      <c r="B33" s="60">
        <f>IFERROR(__xludf.DUMMYFUNCTION("unique(COUNTIF(Patient_Records[Admission Date],'Patient Records'!E19))"),1.0)</f>
        <v>1</v>
      </c>
    </row>
    <row r="34" ht="15.75" customHeight="1">
      <c r="A34" s="57">
        <f>IFERROR(__xludf.DUMMYFUNCTION("""COMPUTED_VALUE"""),45243.0)</f>
        <v>45243</v>
      </c>
      <c r="B34" s="58">
        <f>IFERROR(__xludf.DUMMYFUNCTION("unique(COUNTIF(Patient_Records[Admission Date],'Patient Records'!E20))"),1.0)</f>
        <v>1</v>
      </c>
    </row>
    <row r="35" ht="15.75" customHeight="1">
      <c r="A35" s="62">
        <f>IFERROR(__xludf.DUMMYFUNCTION("""COMPUTED_VALUE"""),45244.0)</f>
        <v>45244</v>
      </c>
      <c r="B35" s="63">
        <f>IFERROR(__xludf.DUMMYFUNCTION("unique(COUNTIF(Patient_Records[Admission Date],'Patient Records'!E21))"),1.0)</f>
        <v>1</v>
      </c>
    </row>
    <row r="36" ht="15.75" customHeight="1"/>
    <row r="37" ht="15.75" customHeight="1"/>
    <row r="38" ht="15.75" customHeight="1">
      <c r="A38" s="47" t="s">
        <v>7</v>
      </c>
      <c r="B38" s="48" t="s">
        <v>52</v>
      </c>
    </row>
    <row r="39" ht="15.75" customHeight="1">
      <c r="A39" s="49" t="s">
        <v>58</v>
      </c>
      <c r="B39" s="64">
        <f>AVERAGEIF('Patient Records'!H2:H21, "Medical*", 'Patient Records'!C2:C21)</f>
        <v>37.25</v>
      </c>
    </row>
    <row r="40" ht="15.75" customHeight="1">
      <c r="A40" s="51" t="s">
        <v>59</v>
      </c>
      <c r="B40" s="65">
        <f>AVERAGEIF('Patient Records'!H2:H21, "Cardiac", 'Patient Records'!C2:C21)</f>
        <v>63.75</v>
      </c>
    </row>
    <row r="41" ht="15.75" customHeight="1">
      <c r="A41" s="52" t="s">
        <v>25</v>
      </c>
      <c r="B41" s="66">
        <f>AVERAGEIF('Patient Records'!H2:H21, "Respiratory", 'Patient Records'!C2:C21)</f>
        <v>57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dataValidations>
    <dataValidation type="custom" allowBlank="1" showDropDown="1" sqref="A16:A35">
      <formula1>OR(NOT(ISERROR(DATEVALUE(A16))), AND(ISNUMBER(A16), LEFT(CELL("format", A16))="D"))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67" t="s">
        <v>60</v>
      </c>
      <c r="L1" s="67" t="s">
        <v>61</v>
      </c>
      <c r="M1" s="68" t="s">
        <v>51</v>
      </c>
    </row>
    <row r="2">
      <c r="A2" s="3">
        <v>1001.0</v>
      </c>
      <c r="B2" s="4" t="s">
        <v>10</v>
      </c>
      <c r="C2" s="5">
        <v>35.0</v>
      </c>
      <c r="D2" s="6" t="s">
        <v>11</v>
      </c>
      <c r="E2" s="7">
        <v>45225.0</v>
      </c>
      <c r="F2" s="7">
        <v>45232.0</v>
      </c>
      <c r="G2" s="8" t="s">
        <v>12</v>
      </c>
      <c r="H2" s="9" t="s">
        <v>13</v>
      </c>
      <c r="I2" s="6" t="s">
        <v>14</v>
      </c>
      <c r="J2" s="10">
        <f t="shared" ref="J2:J21" si="1">DATEDIF(E2, F2, "D")</f>
        <v>7</v>
      </c>
      <c r="K2" s="9" t="s">
        <v>13</v>
      </c>
      <c r="L2" s="9" t="s">
        <v>62</v>
      </c>
      <c r="M2" s="69" t="str">
        <f>IFERROR(VLOOKUP(H2, $K$2:$L$5, 2, FALSE), "Ward not found")</f>
        <v>Madical Ward A</v>
      </c>
    </row>
    <row r="3">
      <c r="A3" s="11">
        <v>1002.0</v>
      </c>
      <c r="B3" s="12" t="s">
        <v>15</v>
      </c>
      <c r="C3" s="13">
        <v>62.0</v>
      </c>
      <c r="D3" s="14" t="s">
        <v>16</v>
      </c>
      <c r="E3" s="15">
        <v>45226.0</v>
      </c>
      <c r="F3" s="15">
        <v>45235.0</v>
      </c>
      <c r="G3" s="14" t="s">
        <v>17</v>
      </c>
      <c r="H3" s="14" t="s">
        <v>18</v>
      </c>
      <c r="I3" s="14" t="s">
        <v>14</v>
      </c>
      <c r="J3" s="16">
        <f t="shared" si="1"/>
        <v>9</v>
      </c>
      <c r="K3" s="9" t="s">
        <v>21</v>
      </c>
      <c r="L3" s="9" t="s">
        <v>63</v>
      </c>
      <c r="M3" s="69"/>
    </row>
    <row r="4">
      <c r="A4" s="17">
        <v>1003.0</v>
      </c>
      <c r="B4" s="18" t="s">
        <v>19</v>
      </c>
      <c r="C4" s="19">
        <v>28.0</v>
      </c>
      <c r="D4" s="19" t="s">
        <v>11</v>
      </c>
      <c r="E4" s="20">
        <v>45227.0</v>
      </c>
      <c r="F4" s="20">
        <v>45231.0</v>
      </c>
      <c r="G4" s="19" t="s">
        <v>20</v>
      </c>
      <c r="H4" s="19" t="s">
        <v>21</v>
      </c>
      <c r="I4" s="19" t="s">
        <v>22</v>
      </c>
      <c r="J4" s="21">
        <f t="shared" si="1"/>
        <v>4</v>
      </c>
      <c r="K4" s="9" t="s">
        <v>18</v>
      </c>
      <c r="L4" s="9" t="s">
        <v>64</v>
      </c>
      <c r="M4" s="69"/>
    </row>
    <row r="5">
      <c r="A5" s="22">
        <v>1004.0</v>
      </c>
      <c r="B5" s="4" t="s">
        <v>23</v>
      </c>
      <c r="C5" s="5">
        <v>45.0</v>
      </c>
      <c r="D5" s="6" t="s">
        <v>16</v>
      </c>
      <c r="E5" s="7">
        <v>45228.0</v>
      </c>
      <c r="F5" s="7">
        <v>45238.0</v>
      </c>
      <c r="G5" s="6" t="s">
        <v>24</v>
      </c>
      <c r="H5" s="6" t="s">
        <v>25</v>
      </c>
      <c r="I5" s="6" t="s">
        <v>14</v>
      </c>
      <c r="J5" s="10">
        <f t="shared" si="1"/>
        <v>10</v>
      </c>
      <c r="K5" s="9" t="s">
        <v>25</v>
      </c>
      <c r="L5" s="9" t="s">
        <v>65</v>
      </c>
      <c r="M5" s="69"/>
    </row>
    <row r="6">
      <c r="A6" s="11">
        <v>1005.0</v>
      </c>
      <c r="B6" s="12" t="s">
        <v>26</v>
      </c>
      <c r="C6" s="13">
        <v>70.0</v>
      </c>
      <c r="D6" s="14" t="s">
        <v>11</v>
      </c>
      <c r="E6" s="15">
        <v>45229.0</v>
      </c>
      <c r="F6" s="15">
        <v>45237.0</v>
      </c>
      <c r="G6" s="14" t="s">
        <v>17</v>
      </c>
      <c r="H6" s="14" t="s">
        <v>18</v>
      </c>
      <c r="I6" s="14" t="s">
        <v>14</v>
      </c>
      <c r="J6" s="16">
        <f t="shared" si="1"/>
        <v>8</v>
      </c>
      <c r="K6" s="70"/>
      <c r="L6" s="70"/>
      <c r="M6" s="71"/>
    </row>
    <row r="7">
      <c r="A7" s="22">
        <v>1006.0</v>
      </c>
      <c r="B7" s="4" t="s">
        <v>27</v>
      </c>
      <c r="C7" s="5">
        <v>30.0</v>
      </c>
      <c r="D7" s="6" t="s">
        <v>16</v>
      </c>
      <c r="E7" s="7">
        <v>45230.0</v>
      </c>
      <c r="F7" s="7">
        <v>45233.0</v>
      </c>
      <c r="G7" s="8" t="s">
        <v>12</v>
      </c>
      <c r="H7" s="8" t="s">
        <v>13</v>
      </c>
      <c r="I7" s="6" t="s">
        <v>22</v>
      </c>
      <c r="J7" s="10">
        <f t="shared" si="1"/>
        <v>3</v>
      </c>
      <c r="K7" s="70"/>
      <c r="L7" s="70"/>
      <c r="M7" s="71"/>
    </row>
    <row r="8">
      <c r="A8" s="11">
        <v>1007.0</v>
      </c>
      <c r="B8" s="12" t="s">
        <v>28</v>
      </c>
      <c r="C8" s="13">
        <v>55.0</v>
      </c>
      <c r="D8" s="14" t="s">
        <v>11</v>
      </c>
      <c r="E8" s="15">
        <v>45231.0</v>
      </c>
      <c r="F8" s="15">
        <v>45240.0</v>
      </c>
      <c r="G8" s="24" t="s">
        <v>29</v>
      </c>
      <c r="H8" s="24" t="s">
        <v>21</v>
      </c>
      <c r="I8" s="14" t="s">
        <v>14</v>
      </c>
      <c r="J8" s="16">
        <f t="shared" si="1"/>
        <v>9</v>
      </c>
      <c r="K8" s="70"/>
      <c r="L8" s="70"/>
      <c r="M8" s="71"/>
    </row>
    <row r="9">
      <c r="A9" s="22">
        <v>1008.0</v>
      </c>
      <c r="B9" s="4" t="s">
        <v>30</v>
      </c>
      <c r="C9" s="5">
        <v>40.0</v>
      </c>
      <c r="D9" s="6" t="s">
        <v>16</v>
      </c>
      <c r="E9" s="7">
        <v>45232.0</v>
      </c>
      <c r="F9" s="7">
        <v>45236.0</v>
      </c>
      <c r="G9" s="8" t="s">
        <v>31</v>
      </c>
      <c r="H9" s="8" t="s">
        <v>13</v>
      </c>
      <c r="I9" s="6" t="s">
        <v>14</v>
      </c>
      <c r="J9" s="10">
        <f t="shared" si="1"/>
        <v>4</v>
      </c>
      <c r="K9" s="70"/>
      <c r="L9" s="70"/>
      <c r="M9" s="71"/>
    </row>
    <row r="10">
      <c r="A10" s="11">
        <v>1009.0</v>
      </c>
      <c r="B10" s="12" t="s">
        <v>32</v>
      </c>
      <c r="C10" s="13">
        <v>68.0</v>
      </c>
      <c r="D10" s="14" t="s">
        <v>11</v>
      </c>
      <c r="E10" s="15">
        <v>45233.0</v>
      </c>
      <c r="F10" s="15">
        <v>45242.0</v>
      </c>
      <c r="G10" s="14" t="s">
        <v>24</v>
      </c>
      <c r="H10" s="14" t="s">
        <v>25</v>
      </c>
      <c r="I10" s="14" t="s">
        <v>22</v>
      </c>
      <c r="J10" s="16">
        <f t="shared" si="1"/>
        <v>9</v>
      </c>
      <c r="K10" s="70"/>
      <c r="L10" s="70"/>
      <c r="M10" s="71"/>
    </row>
    <row r="11">
      <c r="A11" s="22">
        <v>1010.0</v>
      </c>
      <c r="B11" s="4" t="s">
        <v>33</v>
      </c>
      <c r="C11" s="5">
        <v>25.0</v>
      </c>
      <c r="D11" s="6" t="s">
        <v>16</v>
      </c>
      <c r="E11" s="7">
        <v>45234.0</v>
      </c>
      <c r="F11" s="7">
        <v>45239.0</v>
      </c>
      <c r="G11" s="8" t="s">
        <v>12</v>
      </c>
      <c r="H11" s="8" t="s">
        <v>21</v>
      </c>
      <c r="I11" s="6" t="s">
        <v>14</v>
      </c>
      <c r="J11" s="10">
        <f t="shared" si="1"/>
        <v>5</v>
      </c>
      <c r="K11" s="70"/>
      <c r="L11" s="70"/>
      <c r="M11" s="71"/>
    </row>
    <row r="12">
      <c r="A12" s="11">
        <v>1011.0</v>
      </c>
      <c r="B12" s="12" t="s">
        <v>34</v>
      </c>
      <c r="C12" s="13">
        <v>48.0</v>
      </c>
      <c r="D12" s="14" t="s">
        <v>11</v>
      </c>
      <c r="E12" s="15">
        <v>45235.0</v>
      </c>
      <c r="F12" s="15">
        <v>45241.0</v>
      </c>
      <c r="G12" s="14" t="s">
        <v>17</v>
      </c>
      <c r="H12" s="14" t="s">
        <v>18</v>
      </c>
      <c r="I12" s="14" t="s">
        <v>14</v>
      </c>
      <c r="J12" s="16">
        <f t="shared" si="1"/>
        <v>6</v>
      </c>
      <c r="K12" s="70"/>
      <c r="L12" s="70"/>
      <c r="M12" s="71"/>
    </row>
    <row r="13">
      <c r="A13" s="22">
        <v>1012.0</v>
      </c>
      <c r="B13" s="4" t="s">
        <v>35</v>
      </c>
      <c r="C13" s="5">
        <v>32.0</v>
      </c>
      <c r="D13" s="6" t="s">
        <v>16</v>
      </c>
      <c r="E13" s="7">
        <v>45236.0</v>
      </c>
      <c r="F13" s="7">
        <v>45238.0</v>
      </c>
      <c r="G13" s="8" t="s">
        <v>31</v>
      </c>
      <c r="H13" s="8" t="s">
        <v>13</v>
      </c>
      <c r="I13" s="6" t="s">
        <v>22</v>
      </c>
      <c r="J13" s="10">
        <f t="shared" si="1"/>
        <v>2</v>
      </c>
      <c r="K13" s="70"/>
      <c r="L13" s="70"/>
      <c r="M13" s="71"/>
    </row>
    <row r="14">
      <c r="A14" s="11">
        <v>1013.0</v>
      </c>
      <c r="B14" s="12" t="s">
        <v>36</v>
      </c>
      <c r="C14" s="13">
        <v>60.0</v>
      </c>
      <c r="D14" s="14" t="s">
        <v>11</v>
      </c>
      <c r="E14" s="15">
        <v>45237.0</v>
      </c>
      <c r="F14" s="15">
        <v>45244.0</v>
      </c>
      <c r="G14" s="24" t="s">
        <v>29</v>
      </c>
      <c r="H14" s="24" t="s">
        <v>21</v>
      </c>
      <c r="I14" s="14" t="s">
        <v>14</v>
      </c>
      <c r="J14" s="16">
        <f t="shared" si="1"/>
        <v>7</v>
      </c>
      <c r="K14" s="70"/>
      <c r="L14" s="70"/>
      <c r="M14" s="71"/>
    </row>
    <row r="15">
      <c r="A15" s="22">
        <v>1014.0</v>
      </c>
      <c r="B15" s="4" t="s">
        <v>37</v>
      </c>
      <c r="C15" s="5">
        <v>50.0</v>
      </c>
      <c r="D15" s="6" t="s">
        <v>16</v>
      </c>
      <c r="E15" s="7">
        <v>45238.0</v>
      </c>
      <c r="F15" s="7">
        <v>45242.0</v>
      </c>
      <c r="G15" s="6" t="s">
        <v>24</v>
      </c>
      <c r="H15" s="6" t="s">
        <v>25</v>
      </c>
      <c r="I15" s="6" t="s">
        <v>14</v>
      </c>
      <c r="J15" s="10">
        <f t="shared" si="1"/>
        <v>4</v>
      </c>
      <c r="K15" s="70"/>
      <c r="L15" s="70"/>
      <c r="M15" s="71"/>
    </row>
    <row r="16">
      <c r="A16" s="11">
        <v>1015.0</v>
      </c>
      <c r="B16" s="12" t="s">
        <v>38</v>
      </c>
      <c r="C16" s="13">
        <v>29.0</v>
      </c>
      <c r="D16" s="14" t="s">
        <v>11</v>
      </c>
      <c r="E16" s="15">
        <v>45239.0</v>
      </c>
      <c r="F16" s="15">
        <v>45240.0</v>
      </c>
      <c r="G16" s="24" t="s">
        <v>12</v>
      </c>
      <c r="H16" s="24" t="s">
        <v>13</v>
      </c>
      <c r="I16" s="14" t="s">
        <v>22</v>
      </c>
      <c r="J16" s="16">
        <f t="shared" si="1"/>
        <v>1</v>
      </c>
      <c r="K16" s="70"/>
      <c r="L16" s="70"/>
      <c r="M16" s="71"/>
    </row>
    <row r="17">
      <c r="A17" s="22">
        <v>1016.0</v>
      </c>
      <c r="B17" s="4" t="s">
        <v>39</v>
      </c>
      <c r="C17" s="5">
        <v>75.0</v>
      </c>
      <c r="D17" s="6" t="s">
        <v>16</v>
      </c>
      <c r="E17" s="7">
        <v>45240.0</v>
      </c>
      <c r="F17" s="7">
        <v>45245.0</v>
      </c>
      <c r="G17" s="6" t="s">
        <v>17</v>
      </c>
      <c r="H17" s="6" t="s">
        <v>18</v>
      </c>
      <c r="I17" s="6" t="s">
        <v>14</v>
      </c>
      <c r="J17" s="10">
        <f t="shared" si="1"/>
        <v>5</v>
      </c>
      <c r="K17" s="70"/>
      <c r="L17" s="70"/>
      <c r="M17" s="71"/>
    </row>
    <row r="18">
      <c r="A18" s="11">
        <v>1017.0</v>
      </c>
      <c r="B18" s="12" t="s">
        <v>40</v>
      </c>
      <c r="C18" s="13">
        <v>38.0</v>
      </c>
      <c r="D18" s="14" t="s">
        <v>11</v>
      </c>
      <c r="E18" s="15">
        <v>45241.0</v>
      </c>
      <c r="F18" s="15">
        <v>45243.0</v>
      </c>
      <c r="G18" s="24" t="s">
        <v>31</v>
      </c>
      <c r="H18" s="24" t="s">
        <v>21</v>
      </c>
      <c r="I18" s="14" t="s">
        <v>14</v>
      </c>
      <c r="J18" s="16">
        <f t="shared" si="1"/>
        <v>2</v>
      </c>
      <c r="K18" s="70"/>
      <c r="L18" s="70"/>
      <c r="M18" s="71"/>
    </row>
    <row r="19">
      <c r="A19" s="22">
        <v>1018.0</v>
      </c>
      <c r="B19" s="4" t="s">
        <v>41</v>
      </c>
      <c r="C19" s="5">
        <v>42.0</v>
      </c>
      <c r="D19" s="6" t="s">
        <v>16</v>
      </c>
      <c r="E19" s="7">
        <v>45242.0</v>
      </c>
      <c r="F19" s="7">
        <v>45246.0</v>
      </c>
      <c r="G19" s="8" t="s">
        <v>29</v>
      </c>
      <c r="H19" s="8" t="s">
        <v>13</v>
      </c>
      <c r="I19" s="6" t="s">
        <v>22</v>
      </c>
      <c r="J19" s="10">
        <f t="shared" si="1"/>
        <v>4</v>
      </c>
      <c r="K19" s="70"/>
      <c r="L19" s="70"/>
      <c r="M19" s="71"/>
    </row>
    <row r="20">
      <c r="A20" s="11">
        <v>1019.0</v>
      </c>
      <c r="B20" s="12" t="s">
        <v>42</v>
      </c>
      <c r="C20" s="13">
        <v>65.0</v>
      </c>
      <c r="D20" s="14" t="s">
        <v>11</v>
      </c>
      <c r="E20" s="15">
        <v>45243.0</v>
      </c>
      <c r="F20" s="15">
        <v>45247.0</v>
      </c>
      <c r="G20" s="14" t="s">
        <v>24</v>
      </c>
      <c r="H20" s="14" t="s">
        <v>25</v>
      </c>
      <c r="I20" s="14" t="s">
        <v>14</v>
      </c>
      <c r="J20" s="16">
        <f t="shared" si="1"/>
        <v>4</v>
      </c>
      <c r="K20" s="70"/>
      <c r="L20" s="70"/>
      <c r="M20" s="71"/>
    </row>
    <row r="21">
      <c r="A21" s="25">
        <v>1020.0</v>
      </c>
      <c r="B21" s="26" t="s">
        <v>43</v>
      </c>
      <c r="C21" s="27">
        <v>33.0</v>
      </c>
      <c r="D21" s="28" t="s">
        <v>16</v>
      </c>
      <c r="E21" s="29">
        <v>45244.0</v>
      </c>
      <c r="F21" s="29">
        <v>45248.0</v>
      </c>
      <c r="G21" s="30" t="s">
        <v>12</v>
      </c>
      <c r="H21" s="30" t="s">
        <v>21</v>
      </c>
      <c r="I21" s="28" t="s">
        <v>14</v>
      </c>
      <c r="J21" s="31">
        <f t="shared" si="1"/>
        <v>4</v>
      </c>
      <c r="K21" s="72"/>
      <c r="L21" s="72"/>
      <c r="M21" s="73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</row>
  </sheetData>
  <dataValidations>
    <dataValidation type="list" allowBlank="1" showDropDown="1" showErrorMessage="1" sqref="D2:D21">
      <formula1>"Female,Male"</formula1>
    </dataValidation>
    <dataValidation type="custom" allowBlank="1" showDropDown="1" sqref="E2:F21">
      <formula1>OR(NOT(ISERROR(DATEVALUE(E2))), AND(ISNUMBER(E2), LEFT(CELL("format", E2))="D"))</formula1>
    </dataValidation>
    <dataValidation type="list" allowBlank="1" showDropDown="1" showErrorMessage="1" sqref="I2:I21">
      <formula1>"Yes,No"</formula1>
    </dataValidation>
    <dataValidation type="list" allowBlank="1" showDropDown="1" showErrorMessage="1" sqref="H2:H21">
      <formula1>"Medical A,Cardiac,Respiratory,Medical B"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1001.0</v>
      </c>
      <c r="B2" s="4" t="s">
        <v>10</v>
      </c>
      <c r="C2" s="5">
        <v>35.0</v>
      </c>
      <c r="D2" s="6" t="s">
        <v>11</v>
      </c>
      <c r="E2" s="7">
        <v>45225.0</v>
      </c>
      <c r="F2" s="7">
        <v>45232.0</v>
      </c>
      <c r="G2" s="8" t="s">
        <v>12</v>
      </c>
      <c r="H2" s="9" t="s">
        <v>13</v>
      </c>
      <c r="I2" s="6" t="s">
        <v>14</v>
      </c>
      <c r="J2" s="10">
        <f t="shared" ref="J2:J21" si="1">DATEDIF(E2, F2, "D")</f>
        <v>7</v>
      </c>
    </row>
    <row r="3">
      <c r="A3" s="11">
        <v>1002.0</v>
      </c>
      <c r="B3" s="12" t="s">
        <v>15</v>
      </c>
      <c r="C3" s="13">
        <v>62.0</v>
      </c>
      <c r="D3" s="14" t="s">
        <v>16</v>
      </c>
      <c r="E3" s="15">
        <v>45226.0</v>
      </c>
      <c r="F3" s="15">
        <v>45235.0</v>
      </c>
      <c r="G3" s="14" t="s">
        <v>17</v>
      </c>
      <c r="H3" s="14" t="s">
        <v>18</v>
      </c>
      <c r="I3" s="14" t="s">
        <v>14</v>
      </c>
      <c r="J3" s="16">
        <f t="shared" si="1"/>
        <v>9</v>
      </c>
    </row>
    <row r="4">
      <c r="A4" s="17">
        <v>1003.0</v>
      </c>
      <c r="B4" s="18" t="s">
        <v>19</v>
      </c>
      <c r="C4" s="19">
        <v>28.0</v>
      </c>
      <c r="D4" s="19" t="s">
        <v>11</v>
      </c>
      <c r="E4" s="20">
        <v>45227.0</v>
      </c>
      <c r="F4" s="20">
        <v>45231.0</v>
      </c>
      <c r="G4" s="19" t="s">
        <v>20</v>
      </c>
      <c r="H4" s="19" t="s">
        <v>21</v>
      </c>
      <c r="I4" s="19" t="s">
        <v>22</v>
      </c>
      <c r="J4" s="21">
        <f t="shared" si="1"/>
        <v>4</v>
      </c>
    </row>
    <row r="5">
      <c r="A5" s="22">
        <v>1004.0</v>
      </c>
      <c r="B5" s="4" t="s">
        <v>23</v>
      </c>
      <c r="C5" s="5">
        <v>45.0</v>
      </c>
      <c r="D5" s="6" t="s">
        <v>16</v>
      </c>
      <c r="E5" s="7">
        <v>45228.0</v>
      </c>
      <c r="F5" s="7">
        <v>45238.0</v>
      </c>
      <c r="G5" s="6" t="s">
        <v>24</v>
      </c>
      <c r="H5" s="6" t="s">
        <v>25</v>
      </c>
      <c r="I5" s="6" t="s">
        <v>14</v>
      </c>
      <c r="J5" s="10">
        <f t="shared" si="1"/>
        <v>10</v>
      </c>
    </row>
    <row r="6">
      <c r="A6" s="11">
        <v>1005.0</v>
      </c>
      <c r="B6" s="12" t="s">
        <v>26</v>
      </c>
      <c r="C6" s="13">
        <v>70.0</v>
      </c>
      <c r="D6" s="14" t="s">
        <v>11</v>
      </c>
      <c r="E6" s="15">
        <v>45229.0</v>
      </c>
      <c r="F6" s="15">
        <v>45237.0</v>
      </c>
      <c r="G6" s="14" t="s">
        <v>17</v>
      </c>
      <c r="H6" s="14" t="s">
        <v>18</v>
      </c>
      <c r="I6" s="14" t="s">
        <v>14</v>
      </c>
      <c r="J6" s="16">
        <f t="shared" si="1"/>
        <v>8</v>
      </c>
    </row>
    <row r="7">
      <c r="A7" s="22">
        <v>1006.0</v>
      </c>
      <c r="B7" s="4" t="s">
        <v>27</v>
      </c>
      <c r="C7" s="5">
        <v>30.0</v>
      </c>
      <c r="D7" s="6" t="s">
        <v>16</v>
      </c>
      <c r="E7" s="7">
        <v>45230.0</v>
      </c>
      <c r="F7" s="7">
        <v>45233.0</v>
      </c>
      <c r="G7" s="8" t="s">
        <v>12</v>
      </c>
      <c r="H7" s="8" t="s">
        <v>13</v>
      </c>
      <c r="I7" s="6" t="s">
        <v>22</v>
      </c>
      <c r="J7" s="10">
        <f t="shared" si="1"/>
        <v>3</v>
      </c>
    </row>
    <row r="8">
      <c r="A8" s="11">
        <v>1007.0</v>
      </c>
      <c r="B8" s="12" t="s">
        <v>28</v>
      </c>
      <c r="C8" s="13">
        <v>55.0</v>
      </c>
      <c r="D8" s="14" t="s">
        <v>11</v>
      </c>
      <c r="E8" s="15">
        <v>45231.0</v>
      </c>
      <c r="F8" s="15">
        <v>45240.0</v>
      </c>
      <c r="G8" s="24" t="s">
        <v>29</v>
      </c>
      <c r="H8" s="24" t="s">
        <v>21</v>
      </c>
      <c r="I8" s="14" t="s">
        <v>14</v>
      </c>
      <c r="J8" s="16">
        <f t="shared" si="1"/>
        <v>9</v>
      </c>
    </row>
    <row r="9">
      <c r="A9" s="22">
        <v>1008.0</v>
      </c>
      <c r="B9" s="4" t="s">
        <v>30</v>
      </c>
      <c r="C9" s="5">
        <v>40.0</v>
      </c>
      <c r="D9" s="6" t="s">
        <v>16</v>
      </c>
      <c r="E9" s="7">
        <v>45232.0</v>
      </c>
      <c r="F9" s="7">
        <v>45236.0</v>
      </c>
      <c r="G9" s="8" t="s">
        <v>31</v>
      </c>
      <c r="H9" s="8" t="s">
        <v>13</v>
      </c>
      <c r="I9" s="6" t="s">
        <v>14</v>
      </c>
      <c r="J9" s="10">
        <f t="shared" si="1"/>
        <v>4</v>
      </c>
    </row>
    <row r="10">
      <c r="A10" s="11">
        <v>1009.0</v>
      </c>
      <c r="B10" s="12" t="s">
        <v>32</v>
      </c>
      <c r="C10" s="13">
        <v>68.0</v>
      </c>
      <c r="D10" s="14" t="s">
        <v>11</v>
      </c>
      <c r="E10" s="15">
        <v>45233.0</v>
      </c>
      <c r="F10" s="15">
        <v>45242.0</v>
      </c>
      <c r="G10" s="14" t="s">
        <v>24</v>
      </c>
      <c r="H10" s="14" t="s">
        <v>25</v>
      </c>
      <c r="I10" s="14" t="s">
        <v>22</v>
      </c>
      <c r="J10" s="16">
        <f t="shared" si="1"/>
        <v>9</v>
      </c>
    </row>
    <row r="11">
      <c r="A11" s="22">
        <v>1010.0</v>
      </c>
      <c r="B11" s="4" t="s">
        <v>33</v>
      </c>
      <c r="C11" s="5">
        <v>25.0</v>
      </c>
      <c r="D11" s="6" t="s">
        <v>16</v>
      </c>
      <c r="E11" s="7">
        <v>45234.0</v>
      </c>
      <c r="F11" s="7">
        <v>45239.0</v>
      </c>
      <c r="G11" s="8" t="s">
        <v>12</v>
      </c>
      <c r="H11" s="8" t="s">
        <v>21</v>
      </c>
      <c r="I11" s="6" t="s">
        <v>14</v>
      </c>
      <c r="J11" s="10">
        <f t="shared" si="1"/>
        <v>5</v>
      </c>
    </row>
    <row r="12">
      <c r="A12" s="11">
        <v>1011.0</v>
      </c>
      <c r="B12" s="12" t="s">
        <v>34</v>
      </c>
      <c r="C12" s="13">
        <v>48.0</v>
      </c>
      <c r="D12" s="14" t="s">
        <v>11</v>
      </c>
      <c r="E12" s="15">
        <v>45235.0</v>
      </c>
      <c r="F12" s="15">
        <v>45241.0</v>
      </c>
      <c r="G12" s="14" t="s">
        <v>17</v>
      </c>
      <c r="H12" s="14" t="s">
        <v>18</v>
      </c>
      <c r="I12" s="14" t="s">
        <v>14</v>
      </c>
      <c r="J12" s="16">
        <f t="shared" si="1"/>
        <v>6</v>
      </c>
    </row>
    <row r="13">
      <c r="A13" s="22">
        <v>1012.0</v>
      </c>
      <c r="B13" s="4" t="s">
        <v>35</v>
      </c>
      <c r="C13" s="5">
        <v>32.0</v>
      </c>
      <c r="D13" s="6" t="s">
        <v>16</v>
      </c>
      <c r="E13" s="7">
        <v>45236.0</v>
      </c>
      <c r="F13" s="7">
        <v>45238.0</v>
      </c>
      <c r="G13" s="8" t="s">
        <v>31</v>
      </c>
      <c r="H13" s="8" t="s">
        <v>13</v>
      </c>
      <c r="I13" s="6" t="s">
        <v>22</v>
      </c>
      <c r="J13" s="10">
        <f t="shared" si="1"/>
        <v>2</v>
      </c>
    </row>
    <row r="14">
      <c r="A14" s="11">
        <v>1013.0</v>
      </c>
      <c r="B14" s="12" t="s">
        <v>36</v>
      </c>
      <c r="C14" s="13">
        <v>60.0</v>
      </c>
      <c r="D14" s="14" t="s">
        <v>11</v>
      </c>
      <c r="E14" s="15">
        <v>45237.0</v>
      </c>
      <c r="F14" s="15">
        <v>45244.0</v>
      </c>
      <c r="G14" s="24" t="s">
        <v>29</v>
      </c>
      <c r="H14" s="24" t="s">
        <v>21</v>
      </c>
      <c r="I14" s="14" t="s">
        <v>14</v>
      </c>
      <c r="J14" s="16">
        <f t="shared" si="1"/>
        <v>7</v>
      </c>
    </row>
    <row r="15">
      <c r="A15" s="22">
        <v>1014.0</v>
      </c>
      <c r="B15" s="4" t="s">
        <v>37</v>
      </c>
      <c r="C15" s="5">
        <v>50.0</v>
      </c>
      <c r="D15" s="6" t="s">
        <v>16</v>
      </c>
      <c r="E15" s="7">
        <v>45238.0</v>
      </c>
      <c r="F15" s="7">
        <v>45242.0</v>
      </c>
      <c r="G15" s="6" t="s">
        <v>24</v>
      </c>
      <c r="H15" s="6" t="s">
        <v>25</v>
      </c>
      <c r="I15" s="6" t="s">
        <v>14</v>
      </c>
      <c r="J15" s="10">
        <f t="shared" si="1"/>
        <v>4</v>
      </c>
    </row>
    <row r="16">
      <c r="A16" s="11">
        <v>1015.0</v>
      </c>
      <c r="B16" s="12" t="s">
        <v>38</v>
      </c>
      <c r="C16" s="13">
        <v>29.0</v>
      </c>
      <c r="D16" s="14" t="s">
        <v>11</v>
      </c>
      <c r="E16" s="15">
        <v>45239.0</v>
      </c>
      <c r="F16" s="15">
        <v>45240.0</v>
      </c>
      <c r="G16" s="24" t="s">
        <v>12</v>
      </c>
      <c r="H16" s="24" t="s">
        <v>13</v>
      </c>
      <c r="I16" s="14" t="s">
        <v>22</v>
      </c>
      <c r="J16" s="16">
        <f t="shared" si="1"/>
        <v>1</v>
      </c>
    </row>
    <row r="17">
      <c r="A17" s="22">
        <v>1016.0</v>
      </c>
      <c r="B17" s="4" t="s">
        <v>39</v>
      </c>
      <c r="C17" s="5">
        <v>75.0</v>
      </c>
      <c r="D17" s="6" t="s">
        <v>16</v>
      </c>
      <c r="E17" s="7">
        <v>45240.0</v>
      </c>
      <c r="F17" s="7">
        <v>45245.0</v>
      </c>
      <c r="G17" s="6" t="s">
        <v>17</v>
      </c>
      <c r="H17" s="6" t="s">
        <v>18</v>
      </c>
      <c r="I17" s="6" t="s">
        <v>14</v>
      </c>
      <c r="J17" s="10">
        <f t="shared" si="1"/>
        <v>5</v>
      </c>
    </row>
    <row r="18">
      <c r="A18" s="11">
        <v>1017.0</v>
      </c>
      <c r="B18" s="12" t="s">
        <v>40</v>
      </c>
      <c r="C18" s="13">
        <v>38.0</v>
      </c>
      <c r="D18" s="14" t="s">
        <v>11</v>
      </c>
      <c r="E18" s="15">
        <v>45241.0</v>
      </c>
      <c r="F18" s="15">
        <v>45243.0</v>
      </c>
      <c r="G18" s="24" t="s">
        <v>31</v>
      </c>
      <c r="H18" s="24" t="s">
        <v>21</v>
      </c>
      <c r="I18" s="14" t="s">
        <v>14</v>
      </c>
      <c r="J18" s="16">
        <f t="shared" si="1"/>
        <v>2</v>
      </c>
    </row>
    <row r="19">
      <c r="A19" s="22">
        <v>1018.0</v>
      </c>
      <c r="B19" s="4" t="s">
        <v>41</v>
      </c>
      <c r="C19" s="5">
        <v>42.0</v>
      </c>
      <c r="D19" s="6" t="s">
        <v>16</v>
      </c>
      <c r="E19" s="7">
        <v>45242.0</v>
      </c>
      <c r="F19" s="7">
        <v>45246.0</v>
      </c>
      <c r="G19" s="8" t="s">
        <v>29</v>
      </c>
      <c r="H19" s="8" t="s">
        <v>13</v>
      </c>
      <c r="I19" s="6" t="s">
        <v>22</v>
      </c>
      <c r="J19" s="10">
        <f t="shared" si="1"/>
        <v>4</v>
      </c>
    </row>
    <row r="20">
      <c r="A20" s="11">
        <v>1019.0</v>
      </c>
      <c r="B20" s="12" t="s">
        <v>42</v>
      </c>
      <c r="C20" s="13">
        <v>65.0</v>
      </c>
      <c r="D20" s="14" t="s">
        <v>11</v>
      </c>
      <c r="E20" s="15">
        <v>45243.0</v>
      </c>
      <c r="F20" s="15">
        <v>45247.0</v>
      </c>
      <c r="G20" s="14" t="s">
        <v>24</v>
      </c>
      <c r="H20" s="14" t="s">
        <v>25</v>
      </c>
      <c r="I20" s="14" t="s">
        <v>14</v>
      </c>
      <c r="J20" s="16">
        <f t="shared" si="1"/>
        <v>4</v>
      </c>
    </row>
    <row r="21">
      <c r="A21" s="25">
        <v>1020.0</v>
      </c>
      <c r="B21" s="26" t="s">
        <v>43</v>
      </c>
      <c r="C21" s="27">
        <v>33.0</v>
      </c>
      <c r="D21" s="28" t="s">
        <v>16</v>
      </c>
      <c r="E21" s="29">
        <v>45244.0</v>
      </c>
      <c r="F21" s="29">
        <v>45248.0</v>
      </c>
      <c r="G21" s="30" t="s">
        <v>12</v>
      </c>
      <c r="H21" s="30" t="s">
        <v>21</v>
      </c>
      <c r="I21" s="28" t="s">
        <v>14</v>
      </c>
      <c r="J21" s="31">
        <f t="shared" si="1"/>
        <v>4</v>
      </c>
    </row>
  </sheetData>
  <conditionalFormatting sqref="C1:C21">
    <cfRule type="cellIs" dxfId="6" priority="1" operator="greaterThan">
      <formula>60</formula>
    </cfRule>
  </conditionalFormatting>
  <dataValidations>
    <dataValidation type="list" allowBlank="1" showDropDown="1" showErrorMessage="1" sqref="D2:D21">
      <formula1>"Female,Male"</formula1>
    </dataValidation>
    <dataValidation type="custom" allowBlank="1" showDropDown="1" sqref="E2:F21">
      <formula1>OR(NOT(ISERROR(DATEVALUE(E2))), AND(ISNUMBER(E2), LEFT(CELL("format", E2))="D"))</formula1>
    </dataValidation>
    <dataValidation type="list" allowBlank="1" showDropDown="1" showErrorMessage="1" sqref="I2:I21">
      <formula1>"Yes,No"</formula1>
    </dataValidation>
    <dataValidation type="list" allowBlank="1" showDropDown="1" showErrorMessage="1" sqref="H2:H21">
      <formula1>"Medical A,Cardiac,Respiratory,Medical B"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idden="1">
      <c r="A2" s="3">
        <v>1001.0</v>
      </c>
      <c r="B2" s="4" t="s">
        <v>10</v>
      </c>
      <c r="C2" s="5">
        <v>35.0</v>
      </c>
      <c r="D2" s="6" t="s">
        <v>11</v>
      </c>
      <c r="E2" s="7">
        <v>45225.0</v>
      </c>
      <c r="F2" s="7">
        <v>45232.0</v>
      </c>
      <c r="G2" s="8" t="s">
        <v>12</v>
      </c>
      <c r="H2" s="9" t="s">
        <v>13</v>
      </c>
      <c r="I2" s="6" t="s">
        <v>14</v>
      </c>
      <c r="J2" s="10">
        <f t="shared" ref="J2:J21" si="1">DATEDIF(E2, F2, "D")</f>
        <v>7</v>
      </c>
    </row>
    <row r="3" hidden="1">
      <c r="A3" s="11">
        <v>1002.0</v>
      </c>
      <c r="B3" s="12" t="s">
        <v>15</v>
      </c>
      <c r="C3" s="13">
        <v>62.0</v>
      </c>
      <c r="D3" s="14" t="s">
        <v>16</v>
      </c>
      <c r="E3" s="15">
        <v>45226.0</v>
      </c>
      <c r="F3" s="15">
        <v>45235.0</v>
      </c>
      <c r="G3" s="14" t="s">
        <v>17</v>
      </c>
      <c r="H3" s="14" t="s">
        <v>18</v>
      </c>
      <c r="I3" s="14" t="s">
        <v>14</v>
      </c>
      <c r="J3" s="16">
        <f t="shared" si="1"/>
        <v>9</v>
      </c>
    </row>
    <row r="4" hidden="1">
      <c r="A4" s="17">
        <v>1003.0</v>
      </c>
      <c r="B4" s="18" t="s">
        <v>19</v>
      </c>
      <c r="C4" s="19">
        <v>28.0</v>
      </c>
      <c r="D4" s="19" t="s">
        <v>11</v>
      </c>
      <c r="E4" s="20">
        <v>45227.0</v>
      </c>
      <c r="F4" s="20">
        <v>45231.0</v>
      </c>
      <c r="G4" s="19" t="s">
        <v>20</v>
      </c>
      <c r="H4" s="19" t="s">
        <v>21</v>
      </c>
      <c r="I4" s="19" t="s">
        <v>22</v>
      </c>
      <c r="J4" s="21">
        <f t="shared" si="1"/>
        <v>4</v>
      </c>
    </row>
    <row r="5">
      <c r="A5" s="22">
        <v>1004.0</v>
      </c>
      <c r="B5" s="4" t="s">
        <v>23</v>
      </c>
      <c r="C5" s="5">
        <v>45.0</v>
      </c>
      <c r="D5" s="6" t="s">
        <v>16</v>
      </c>
      <c r="E5" s="7">
        <v>45228.0</v>
      </c>
      <c r="F5" s="7">
        <v>45238.0</v>
      </c>
      <c r="G5" s="6" t="s">
        <v>24</v>
      </c>
      <c r="H5" s="6" t="s">
        <v>25</v>
      </c>
      <c r="I5" s="6" t="s">
        <v>14</v>
      </c>
      <c r="J5" s="10">
        <f t="shared" si="1"/>
        <v>10</v>
      </c>
    </row>
    <row r="6" hidden="1">
      <c r="A6" s="11">
        <v>1005.0</v>
      </c>
      <c r="B6" s="12" t="s">
        <v>26</v>
      </c>
      <c r="C6" s="13">
        <v>70.0</v>
      </c>
      <c r="D6" s="14" t="s">
        <v>11</v>
      </c>
      <c r="E6" s="15">
        <v>45229.0</v>
      </c>
      <c r="F6" s="15">
        <v>45237.0</v>
      </c>
      <c r="G6" s="14" t="s">
        <v>17</v>
      </c>
      <c r="H6" s="14" t="s">
        <v>18</v>
      </c>
      <c r="I6" s="14" t="s">
        <v>14</v>
      </c>
      <c r="J6" s="16">
        <f t="shared" si="1"/>
        <v>8</v>
      </c>
    </row>
    <row r="7" hidden="1">
      <c r="A7" s="22">
        <v>1006.0</v>
      </c>
      <c r="B7" s="4" t="s">
        <v>27</v>
      </c>
      <c r="C7" s="5">
        <v>30.0</v>
      </c>
      <c r="D7" s="6" t="s">
        <v>16</v>
      </c>
      <c r="E7" s="7">
        <v>45230.0</v>
      </c>
      <c r="F7" s="7">
        <v>45233.0</v>
      </c>
      <c r="G7" s="8" t="s">
        <v>12</v>
      </c>
      <c r="H7" s="8" t="s">
        <v>13</v>
      </c>
      <c r="I7" s="6" t="s">
        <v>22</v>
      </c>
      <c r="J7" s="10">
        <f t="shared" si="1"/>
        <v>3</v>
      </c>
    </row>
    <row r="8" hidden="1">
      <c r="A8" s="11">
        <v>1007.0</v>
      </c>
      <c r="B8" s="12" t="s">
        <v>28</v>
      </c>
      <c r="C8" s="13">
        <v>55.0</v>
      </c>
      <c r="D8" s="14" t="s">
        <v>11</v>
      </c>
      <c r="E8" s="15">
        <v>45231.0</v>
      </c>
      <c r="F8" s="15">
        <v>45240.0</v>
      </c>
      <c r="G8" s="24" t="s">
        <v>29</v>
      </c>
      <c r="H8" s="24" t="s">
        <v>21</v>
      </c>
      <c r="I8" s="14" t="s">
        <v>14</v>
      </c>
      <c r="J8" s="16">
        <f t="shared" si="1"/>
        <v>9</v>
      </c>
    </row>
    <row r="9" hidden="1">
      <c r="A9" s="22">
        <v>1008.0</v>
      </c>
      <c r="B9" s="4" t="s">
        <v>30</v>
      </c>
      <c r="C9" s="5">
        <v>40.0</v>
      </c>
      <c r="D9" s="6" t="s">
        <v>16</v>
      </c>
      <c r="E9" s="7">
        <v>45232.0</v>
      </c>
      <c r="F9" s="7">
        <v>45236.0</v>
      </c>
      <c r="G9" s="8" t="s">
        <v>31</v>
      </c>
      <c r="H9" s="8" t="s">
        <v>13</v>
      </c>
      <c r="I9" s="6" t="s">
        <v>14</v>
      </c>
      <c r="J9" s="10">
        <f t="shared" si="1"/>
        <v>4</v>
      </c>
    </row>
    <row r="10">
      <c r="A10" s="11">
        <v>1009.0</v>
      </c>
      <c r="B10" s="12" t="s">
        <v>32</v>
      </c>
      <c r="C10" s="13">
        <v>68.0</v>
      </c>
      <c r="D10" s="14" t="s">
        <v>11</v>
      </c>
      <c r="E10" s="15">
        <v>45233.0</v>
      </c>
      <c r="F10" s="15">
        <v>45242.0</v>
      </c>
      <c r="G10" s="14" t="s">
        <v>24</v>
      </c>
      <c r="H10" s="14" t="s">
        <v>25</v>
      </c>
      <c r="I10" s="14" t="s">
        <v>22</v>
      </c>
      <c r="J10" s="16">
        <f t="shared" si="1"/>
        <v>9</v>
      </c>
    </row>
    <row r="11" hidden="1">
      <c r="A11" s="22">
        <v>1010.0</v>
      </c>
      <c r="B11" s="4" t="s">
        <v>33</v>
      </c>
      <c r="C11" s="5">
        <v>25.0</v>
      </c>
      <c r="D11" s="6" t="s">
        <v>16</v>
      </c>
      <c r="E11" s="7">
        <v>45234.0</v>
      </c>
      <c r="F11" s="7">
        <v>45239.0</v>
      </c>
      <c r="G11" s="8" t="s">
        <v>12</v>
      </c>
      <c r="H11" s="8" t="s">
        <v>21</v>
      </c>
      <c r="I11" s="6" t="s">
        <v>14</v>
      </c>
      <c r="J11" s="10">
        <f t="shared" si="1"/>
        <v>5</v>
      </c>
    </row>
    <row r="12" hidden="1">
      <c r="A12" s="11">
        <v>1011.0</v>
      </c>
      <c r="B12" s="12" t="s">
        <v>34</v>
      </c>
      <c r="C12" s="13">
        <v>48.0</v>
      </c>
      <c r="D12" s="14" t="s">
        <v>11</v>
      </c>
      <c r="E12" s="15">
        <v>45235.0</v>
      </c>
      <c r="F12" s="15">
        <v>45241.0</v>
      </c>
      <c r="G12" s="14" t="s">
        <v>17</v>
      </c>
      <c r="H12" s="14" t="s">
        <v>18</v>
      </c>
      <c r="I12" s="14" t="s">
        <v>14</v>
      </c>
      <c r="J12" s="16">
        <f t="shared" si="1"/>
        <v>6</v>
      </c>
    </row>
    <row r="13" hidden="1">
      <c r="A13" s="22">
        <v>1012.0</v>
      </c>
      <c r="B13" s="4" t="s">
        <v>35</v>
      </c>
      <c r="C13" s="5">
        <v>32.0</v>
      </c>
      <c r="D13" s="6" t="s">
        <v>16</v>
      </c>
      <c r="E13" s="7">
        <v>45236.0</v>
      </c>
      <c r="F13" s="7">
        <v>45238.0</v>
      </c>
      <c r="G13" s="8" t="s">
        <v>31</v>
      </c>
      <c r="H13" s="8" t="s">
        <v>13</v>
      </c>
      <c r="I13" s="6" t="s">
        <v>22</v>
      </c>
      <c r="J13" s="10">
        <f t="shared" si="1"/>
        <v>2</v>
      </c>
    </row>
    <row r="14" hidden="1">
      <c r="A14" s="11">
        <v>1013.0</v>
      </c>
      <c r="B14" s="12" t="s">
        <v>36</v>
      </c>
      <c r="C14" s="13">
        <v>60.0</v>
      </c>
      <c r="D14" s="14" t="s">
        <v>11</v>
      </c>
      <c r="E14" s="15">
        <v>45237.0</v>
      </c>
      <c r="F14" s="15">
        <v>45244.0</v>
      </c>
      <c r="G14" s="24" t="s">
        <v>29</v>
      </c>
      <c r="H14" s="24" t="s">
        <v>21</v>
      </c>
      <c r="I14" s="14" t="s">
        <v>14</v>
      </c>
      <c r="J14" s="16">
        <f t="shared" si="1"/>
        <v>7</v>
      </c>
    </row>
    <row r="15">
      <c r="A15" s="22">
        <v>1014.0</v>
      </c>
      <c r="B15" s="4" t="s">
        <v>37</v>
      </c>
      <c r="C15" s="5">
        <v>50.0</v>
      </c>
      <c r="D15" s="6" t="s">
        <v>16</v>
      </c>
      <c r="E15" s="7">
        <v>45238.0</v>
      </c>
      <c r="F15" s="7">
        <v>45242.0</v>
      </c>
      <c r="G15" s="6" t="s">
        <v>24</v>
      </c>
      <c r="H15" s="6" t="s">
        <v>25</v>
      </c>
      <c r="I15" s="6" t="s">
        <v>14</v>
      </c>
      <c r="J15" s="10">
        <f t="shared" si="1"/>
        <v>4</v>
      </c>
    </row>
    <row r="16" hidden="1">
      <c r="A16" s="11">
        <v>1015.0</v>
      </c>
      <c r="B16" s="12" t="s">
        <v>38</v>
      </c>
      <c r="C16" s="13">
        <v>29.0</v>
      </c>
      <c r="D16" s="14" t="s">
        <v>11</v>
      </c>
      <c r="E16" s="15">
        <v>45239.0</v>
      </c>
      <c r="F16" s="15">
        <v>45240.0</v>
      </c>
      <c r="G16" s="24" t="s">
        <v>12</v>
      </c>
      <c r="H16" s="24" t="s">
        <v>13</v>
      </c>
      <c r="I16" s="14" t="s">
        <v>22</v>
      </c>
      <c r="J16" s="16">
        <f t="shared" si="1"/>
        <v>1</v>
      </c>
    </row>
    <row r="17" hidden="1">
      <c r="A17" s="22">
        <v>1016.0</v>
      </c>
      <c r="B17" s="4" t="s">
        <v>39</v>
      </c>
      <c r="C17" s="5">
        <v>75.0</v>
      </c>
      <c r="D17" s="6" t="s">
        <v>16</v>
      </c>
      <c r="E17" s="7">
        <v>45240.0</v>
      </c>
      <c r="F17" s="7">
        <v>45245.0</v>
      </c>
      <c r="G17" s="6" t="s">
        <v>17</v>
      </c>
      <c r="H17" s="6" t="s">
        <v>18</v>
      </c>
      <c r="I17" s="6" t="s">
        <v>14</v>
      </c>
      <c r="J17" s="10">
        <f t="shared" si="1"/>
        <v>5</v>
      </c>
    </row>
    <row r="18" hidden="1">
      <c r="A18" s="11">
        <v>1017.0</v>
      </c>
      <c r="B18" s="12" t="s">
        <v>40</v>
      </c>
      <c r="C18" s="13">
        <v>38.0</v>
      </c>
      <c r="D18" s="14" t="s">
        <v>11</v>
      </c>
      <c r="E18" s="15">
        <v>45241.0</v>
      </c>
      <c r="F18" s="15">
        <v>45243.0</v>
      </c>
      <c r="G18" s="24" t="s">
        <v>31</v>
      </c>
      <c r="H18" s="24" t="s">
        <v>21</v>
      </c>
      <c r="I18" s="14" t="s">
        <v>14</v>
      </c>
      <c r="J18" s="16">
        <f t="shared" si="1"/>
        <v>2</v>
      </c>
    </row>
    <row r="19" hidden="1">
      <c r="A19" s="22">
        <v>1018.0</v>
      </c>
      <c r="B19" s="4" t="s">
        <v>41</v>
      </c>
      <c r="C19" s="5">
        <v>42.0</v>
      </c>
      <c r="D19" s="6" t="s">
        <v>16</v>
      </c>
      <c r="E19" s="7">
        <v>45242.0</v>
      </c>
      <c r="F19" s="7">
        <v>45246.0</v>
      </c>
      <c r="G19" s="8" t="s">
        <v>29</v>
      </c>
      <c r="H19" s="8" t="s">
        <v>13</v>
      </c>
      <c r="I19" s="6" t="s">
        <v>22</v>
      </c>
      <c r="J19" s="10">
        <f t="shared" si="1"/>
        <v>4</v>
      </c>
    </row>
    <row r="20">
      <c r="A20" s="11">
        <v>1019.0</v>
      </c>
      <c r="B20" s="12" t="s">
        <v>42</v>
      </c>
      <c r="C20" s="13">
        <v>65.0</v>
      </c>
      <c r="D20" s="14" t="s">
        <v>11</v>
      </c>
      <c r="E20" s="15">
        <v>45243.0</v>
      </c>
      <c r="F20" s="15">
        <v>45247.0</v>
      </c>
      <c r="G20" s="14" t="s">
        <v>24</v>
      </c>
      <c r="H20" s="14" t="s">
        <v>25</v>
      </c>
      <c r="I20" s="14" t="s">
        <v>14</v>
      </c>
      <c r="J20" s="16">
        <f t="shared" si="1"/>
        <v>4</v>
      </c>
    </row>
    <row r="21" hidden="1">
      <c r="A21" s="25">
        <v>1020.0</v>
      </c>
      <c r="B21" s="26" t="s">
        <v>43</v>
      </c>
      <c r="C21" s="27">
        <v>33.0</v>
      </c>
      <c r="D21" s="28" t="s">
        <v>16</v>
      </c>
      <c r="E21" s="29">
        <v>45244.0</v>
      </c>
      <c r="F21" s="29">
        <v>45248.0</v>
      </c>
      <c r="G21" s="30" t="s">
        <v>12</v>
      </c>
      <c r="H21" s="30" t="s">
        <v>21</v>
      </c>
      <c r="I21" s="28" t="s">
        <v>14</v>
      </c>
      <c r="J21" s="31">
        <f t="shared" si="1"/>
        <v>4</v>
      </c>
    </row>
  </sheetData>
  <dataValidations>
    <dataValidation type="list" allowBlank="1" showDropDown="1" showErrorMessage="1" sqref="D2:D21">
      <formula1>"Female,Male"</formula1>
    </dataValidation>
    <dataValidation type="custom" allowBlank="1" showDropDown="1" sqref="E2:F21">
      <formula1>OR(NOT(ISERROR(DATEVALUE(E2))), AND(ISNUMBER(E2), LEFT(CELL("format", E2))="D"))</formula1>
    </dataValidation>
    <dataValidation type="list" allowBlank="1" showDropDown="1" showErrorMessage="1" sqref="I2:I21">
      <formula1>"Yes,No"</formula1>
    </dataValidation>
    <dataValidation type="list" allowBlank="1" showDropDown="1" showErrorMessage="1" sqref="H2:H21">
      <formula1>"Medical A,Cardiac,Respiratory,Medical B"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